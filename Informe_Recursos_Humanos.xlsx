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specializacion_Excel\S11\ExamenFinal\"/>
    </mc:Choice>
  </mc:AlternateContent>
  <xr:revisionPtr revIDLastSave="0" documentId="8_{22D182EF-028D-4EEE-B358-C69772D0F570}" xr6:coauthVersionLast="47" xr6:coauthVersionMax="47" xr10:uidLastSave="{00000000-0000-0000-0000-000000000000}"/>
  <bookViews>
    <workbookView xWindow="-120" yWindow="-120" windowWidth="20730" windowHeight="11040" activeTab="5" xr2:uid="{8D22ABBC-37BB-422C-9484-366A1D40488B}"/>
  </bookViews>
  <sheets>
    <sheet name="DATOS_CURSO" sheetId="6" r:id="rId1"/>
    <sheet name="BD" sheetId="3" r:id="rId2"/>
    <sheet name="TD" sheetId="5" r:id="rId3"/>
    <sheet name="Hoja3" sheetId="9" r:id="rId4"/>
    <sheet name="TD_DASH" sheetId="7" r:id="rId5"/>
    <sheet name="DASHBOARD" sheetId="8" r:id="rId6"/>
  </sheets>
  <definedNames>
    <definedName name="_bd">Tabla2[#All]</definedName>
    <definedName name="_xlnm._FilterDatabase" localSheetId="1" hidden="1">BD!$A$1:$M$101</definedName>
    <definedName name="bd">BD!$A$1:$M$101</definedName>
    <definedName name="SegmentaciónDeDatos_CARGO">#N/A</definedName>
    <definedName name="SegmentaciónDeDatos_DISTRITO">#N/A</definedName>
    <definedName name="SegmentaciónDeDatos_TIPO_DE_EMPLEADO">#N/A</definedName>
    <definedName name="SegmentaciónDeDatos_TIPO_DE_EMPLEADO1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B118" i="3" l="1"/>
  <c r="B113" i="3"/>
  <c r="B107" i="3"/>
  <c r="B117" i="3"/>
  <c r="B116" i="3"/>
  <c r="B115" i="3"/>
  <c r="B114" i="3"/>
  <c r="B112" i="3"/>
  <c r="B111" i="3"/>
  <c r="B110" i="3"/>
  <c r="B109" i="3" l="1"/>
  <c r="B108" i="3"/>
</calcChain>
</file>

<file path=xl/sharedStrings.xml><?xml version="1.0" encoding="utf-8"?>
<sst xmlns="http://schemas.openxmlformats.org/spreadsheetml/2006/main" count="1073" uniqueCount="216">
  <si>
    <t>NOMBRE</t>
  </si>
  <si>
    <t>ESTADO CIVIL</t>
  </si>
  <si>
    <t>FECHA DE NACIMIENTO</t>
  </si>
  <si>
    <t>EDAD</t>
  </si>
  <si>
    <t>DISTRITO</t>
  </si>
  <si>
    <t>TIPO DE EMPLEADO</t>
  </si>
  <si>
    <t>CARGO</t>
  </si>
  <si>
    <t>SUELDO</t>
  </si>
  <si>
    <t>HORA DE INGRESO</t>
  </si>
  <si>
    <t>HORA DE SALIDA</t>
  </si>
  <si>
    <t>VENTAS MENSUALES</t>
  </si>
  <si>
    <t>POSITIVO AL COVID 19</t>
  </si>
  <si>
    <t>N° DE DÍAS CON LOS SÍNTOMAS</t>
  </si>
  <si>
    <t>INGA GUZMAN WILMA ISABEL</t>
  </si>
  <si>
    <t>PANDURO GUERRERO PABLO SEGUNDO</t>
  </si>
  <si>
    <t>LOPEZ CORDOVA BISELTY</t>
  </si>
  <si>
    <t>RIOS PAIMA GILBERTO</t>
  </si>
  <si>
    <t>MENDOZA AREVALO BETHY</t>
  </si>
  <si>
    <t>VASQUEZ PAREDES JUDITH</t>
  </si>
  <si>
    <t>AREVALO GONZALEZ BETTY LUZ</t>
  </si>
  <si>
    <t>SANTILLAN BARDALES ROSA OMARITA</t>
  </si>
  <si>
    <t>SHUÑA HUANIO RAUL</t>
  </si>
  <si>
    <t>CHAVEZ TARAZONA MARGARITA MARIVEL</t>
  </si>
  <si>
    <t>SINTI CANAYO CLARA LUZ</t>
  </si>
  <si>
    <t>PACAYA VARGAS MILENA</t>
  </si>
  <si>
    <t>ARRIAGA VALLES LOIDA ZARELA</t>
  </si>
  <si>
    <t>PAREDES GRANDEZ GONERSON</t>
  </si>
  <si>
    <t>RENGIFO ROJAS MARIA ELENA</t>
  </si>
  <si>
    <t>VILCHEZ CARDENAS PEDRO ARMANDO</t>
  </si>
  <si>
    <t>OÑATE PORTOCARRERO MEYER</t>
  </si>
  <si>
    <t>GARCIA SANGAMA PEVIG</t>
  </si>
  <si>
    <t>PEREZ ZAPATA LUZ ESTEFANIA</t>
  </si>
  <si>
    <t>RIOS DAVILA MARILYN</t>
  </si>
  <si>
    <t>FLORES PEREZ PEDRO ANTONIO</t>
  </si>
  <si>
    <t>PINEDO RUIZ TIBURCIO</t>
  </si>
  <si>
    <t>VILLEGAS RUIZ ROCIO</t>
  </si>
  <si>
    <t>PEREZ MONTES MARCIAL</t>
  </si>
  <si>
    <t>SIU GOMEZ JENNY</t>
  </si>
  <si>
    <t>NUVE SHUPINGAHUA EDMUNDO</t>
  </si>
  <si>
    <t>SOUZA SALDAÑA VICTOR RAUL</t>
  </si>
  <si>
    <t>OBERLUIS MUSAC CARMEN SONIA</t>
  </si>
  <si>
    <t>RODRIGUEZ SILVANO JAIME</t>
  </si>
  <si>
    <t>DEL AGUILA SILVA YRMA PETRONILA</t>
  </si>
  <si>
    <t>CACERES PAREDES TEDDY</t>
  </si>
  <si>
    <t>RIOS VELA ALVARO</t>
  </si>
  <si>
    <t>CARRASCAL SIFUENTES JUAN CARLOS</t>
  </si>
  <si>
    <t>PERDOMO ANDION DELICIA AZUCENA</t>
  </si>
  <si>
    <t>LOPEZ NAVARRO DORIS</t>
  </si>
  <si>
    <t>HUAYUNGA TAMANI ALBERTO</t>
  </si>
  <si>
    <t>AREVALO FLORES LISBETH</t>
  </si>
  <si>
    <t>NILSSON PEZO JAMES DAN</t>
  </si>
  <si>
    <t>LOPEZ ENCINAS ANGELICA</t>
  </si>
  <si>
    <t>RIOS GONZALES ELOY</t>
  </si>
  <si>
    <t>OCHOA FALCON CLEYDER</t>
  </si>
  <si>
    <t>SILVA PORTOCARRERO CESAR</t>
  </si>
  <si>
    <t>SERRUCHE VEGA DOLLY DERMIS</t>
  </si>
  <si>
    <t>RODRIGUEZ RIOS MERY EMPERATRIZ</t>
  </si>
  <si>
    <t>TANGOA MURRIETA HAYDEE</t>
  </si>
  <si>
    <t>LOPEZ OCHOA MELITA</t>
  </si>
  <si>
    <t>DIAZ GONZALES DELICIA</t>
  </si>
  <si>
    <t>MORRIS SAAVEDRA ZETID</t>
  </si>
  <si>
    <t>DEL AGUILA GONZALES SONIA ISABEL</t>
  </si>
  <si>
    <t>SANDOVAL LOZANO KROWELAN</t>
  </si>
  <si>
    <t>PORTOCARRERO REATEGUI ROXANA MARTINA</t>
  </si>
  <si>
    <t>RENGIFO DEL AGUILA ROSA IDA</t>
  </si>
  <si>
    <t>MERA GOMEZ GINA ESTHER</t>
  </si>
  <si>
    <t>COBLENTZ DEL AGUILA GLADYS BEATRIZ</t>
  </si>
  <si>
    <t>ALMEYDA PANDURO LIMBER JUAN</t>
  </si>
  <si>
    <t>RUIZ PEREZ SILVIO</t>
  </si>
  <si>
    <t>TUESTA CORDOVA DE PIZARRO MARIA ETELVINA</t>
  </si>
  <si>
    <t>RENGIFO PUGA OFELIA</t>
  </si>
  <si>
    <t>GREENWICH PANDURO CLARA ROSA</t>
  </si>
  <si>
    <t>SALDAÑA PEZO ELIZABETH</t>
  </si>
  <si>
    <t>GUTIERREZ PACAYA CECILIA</t>
  </si>
  <si>
    <t>ECHEVARRIA INGA ROSA MERCEDES</t>
  </si>
  <si>
    <t>REYNA MELENDEZ JORGE</t>
  </si>
  <si>
    <t>SABOYA TORRES GLADYS</t>
  </si>
  <si>
    <t>VELA DE TORRES MANUELA</t>
  </si>
  <si>
    <t>VASQUEZ MAYORA SABELITH</t>
  </si>
  <si>
    <t>QUIROZ MONCADA JOSE ADELMO</t>
  </si>
  <si>
    <t>SANCHEZ RIOS ERMITA</t>
  </si>
  <si>
    <t>RIOS PAREDES EDINSON</t>
  </si>
  <si>
    <t>RIOS LAYCHE NORA INES</t>
  </si>
  <si>
    <t>CHOY SANCHEZ RAMIREZ KATTY ESTHER</t>
  </si>
  <si>
    <t>SANCHEZ DE SANDOVAL EDITH ANTONIA</t>
  </si>
  <si>
    <t>OZAMBELA GOMEZ LLENY LISBETH</t>
  </si>
  <si>
    <t>PEREYRA RUIZ GINA LUCY</t>
  </si>
  <si>
    <t>MONDRAGON INGA ANDERSON</t>
  </si>
  <si>
    <t>MOGROVEJO DIAZ YSABEL</t>
  </si>
  <si>
    <t>GARCIA GARCIA LEYLY</t>
  </si>
  <si>
    <t>VELA RAMIREZ MARIA GLORIOSA</t>
  </si>
  <si>
    <t>AREVALO ACOSTA ANTONIETA</t>
  </si>
  <si>
    <t>MENDOZA CARLOS LEOCADIA</t>
  </si>
  <si>
    <t>RUIZ CAHUAZA BLANCA LUZMILA</t>
  </si>
  <si>
    <t>VARGAS VALDIVIA AIDA LUZ</t>
  </si>
  <si>
    <t>SABOYA RUIZ LLENSI</t>
  </si>
  <si>
    <t>GUERREIRO RAMIREZ ROBERTO FERNANDO</t>
  </si>
  <si>
    <t>MUÑOZ ZUÑIGA ROMEL</t>
  </si>
  <si>
    <t>MONCADA GONZALEZ FELIPE</t>
  </si>
  <si>
    <t>MENDOZA VIDALON MARIA CARINA</t>
  </si>
  <si>
    <t>TUESTA SORIA PATRICIA DEL PILAR</t>
  </si>
  <si>
    <t>LOZANO CARDENAS MERSEDES</t>
  </si>
  <si>
    <t>YSUIZA AGUILERA SONIA</t>
  </si>
  <si>
    <t>ORTIZ PAIMA DE GONZALES CARMEN</t>
  </si>
  <si>
    <t>VELASCO AGUILAR ANGELICA YSABEL</t>
  </si>
  <si>
    <t>VARGAS ACHO GUIMO</t>
  </si>
  <si>
    <t>SANCHEZ GUTIERREZ ELITA</t>
  </si>
  <si>
    <t>Soltero</t>
  </si>
  <si>
    <t>Casado</t>
  </si>
  <si>
    <t>Conviviente</t>
  </si>
  <si>
    <t>La Molina</t>
  </si>
  <si>
    <t>La Victoria</t>
  </si>
  <si>
    <t>Lince</t>
  </si>
  <si>
    <t>Comas</t>
  </si>
  <si>
    <t>Miraflores</t>
  </si>
  <si>
    <t>Jesús María</t>
  </si>
  <si>
    <t>Los Olivos</t>
  </si>
  <si>
    <t>San Juan de Lurigancho</t>
  </si>
  <si>
    <t>San Borja</t>
  </si>
  <si>
    <t>Santa Anita</t>
  </si>
  <si>
    <t>Contratado</t>
  </si>
  <si>
    <t>Temporal</t>
  </si>
  <si>
    <t>Nombrado</t>
  </si>
  <si>
    <t>Administrativo</t>
  </si>
  <si>
    <t>Planta</t>
  </si>
  <si>
    <t>Ventas</t>
  </si>
  <si>
    <t>SI</t>
  </si>
  <si>
    <t>NO</t>
  </si>
  <si>
    <t>RESUMEN ESTADÍSTICO</t>
  </si>
  <si>
    <t>Edad Mínima</t>
  </si>
  <si>
    <t>Edad Máxima</t>
  </si>
  <si>
    <t>Edad Promedio</t>
  </si>
  <si>
    <t>Promedio de sueldo de los nombrados</t>
  </si>
  <si>
    <t>Promedio de días de las personas positivas al covid19</t>
  </si>
  <si>
    <t>RESULTADO</t>
  </si>
  <si>
    <t>ESTADÍSTICAS</t>
  </si>
  <si>
    <t>Número de solteros</t>
  </si>
  <si>
    <t>Número de casados</t>
  </si>
  <si>
    <t>Número de contratados mayores de 30 años</t>
  </si>
  <si>
    <t>Número de casados, positivos al covid19 y con sueldo mayor a 1500 soles</t>
  </si>
  <si>
    <t>Suma total del sueldo de los contratados</t>
  </si>
  <si>
    <t>Suma total del sueldo de los convivientes, de cargo administrativo, negativos al covid y que vivan en Lince</t>
  </si>
  <si>
    <t>Promedio de ventas mensuales de contratados, de cargo ventas, negativos al covid y mayores a 30 años</t>
  </si>
  <si>
    <t>Suma de SUELDO</t>
  </si>
  <si>
    <t>Etiquetas de fila</t>
  </si>
  <si>
    <t>Total general</t>
  </si>
  <si>
    <t>Número de trabajadores</t>
  </si>
  <si>
    <t>TABLA DINÁMICA N°01</t>
  </si>
  <si>
    <t>TABLA DINÁMICA N°02</t>
  </si>
  <si>
    <t>TABLA DINÁMICA N°03</t>
  </si>
  <si>
    <t>Etiquetas de columna</t>
  </si>
  <si>
    <t>TABLA DINÁMICA N°04</t>
  </si>
  <si>
    <t>21-25</t>
  </si>
  <si>
    <t>26-30</t>
  </si>
  <si>
    <t>31-35</t>
  </si>
  <si>
    <t>36-40</t>
  </si>
  <si>
    <t>41-45</t>
  </si>
  <si>
    <t>46-50</t>
  </si>
  <si>
    <r>
      <rPr>
        <b/>
        <sz val="14"/>
        <color theme="1"/>
        <rFont val="Arial Rounded MT Bold"/>
        <family val="2"/>
      </rPr>
      <t>CURSO        :</t>
    </r>
    <r>
      <rPr>
        <sz val="14"/>
        <color theme="1"/>
        <rFont val="Century Gothic"/>
        <family val="2"/>
        <scheme val="minor"/>
      </rPr>
      <t xml:space="preserve"> </t>
    </r>
    <r>
      <rPr>
        <i/>
        <sz val="16"/>
        <color theme="1"/>
        <rFont val="Calisto MT"/>
        <family val="1"/>
      </rPr>
      <t>Especialización en manejo de datos con excel</t>
    </r>
  </si>
  <si>
    <r>
      <rPr>
        <b/>
        <sz val="14"/>
        <color theme="1"/>
        <rFont val="Arial Rounded MT Bold"/>
        <family val="2"/>
      </rPr>
      <t>AÑO             :</t>
    </r>
    <r>
      <rPr>
        <sz val="14"/>
        <color theme="1"/>
        <rFont val="Century Gothic"/>
        <family val="2"/>
        <scheme val="minor"/>
      </rPr>
      <t xml:space="preserve"> </t>
    </r>
    <r>
      <rPr>
        <i/>
        <sz val="16"/>
        <color theme="1"/>
        <rFont val="Calisto MT"/>
        <family val="1"/>
      </rPr>
      <t>2023</t>
    </r>
  </si>
  <si>
    <r>
      <rPr>
        <b/>
        <sz val="14"/>
        <color theme="1"/>
        <rFont val="Arial Rounded MT Bold"/>
        <family val="2"/>
      </rPr>
      <t>ALUMNO     :</t>
    </r>
    <r>
      <rPr>
        <b/>
        <sz val="14"/>
        <color theme="1"/>
        <rFont val="Century Gothic"/>
        <family val="2"/>
        <scheme val="minor"/>
      </rPr>
      <t xml:space="preserve"> </t>
    </r>
    <r>
      <rPr>
        <i/>
        <sz val="16"/>
        <color theme="1"/>
        <rFont val="Calisto MT"/>
        <family val="1"/>
      </rPr>
      <t>Bustos Chavez, Hesler Lincolm</t>
    </r>
  </si>
  <si>
    <t>CORREO CORPORATIVO</t>
  </si>
  <si>
    <t>CATEGORÍA VENTAS</t>
  </si>
  <si>
    <t>AISLAMIENTO OBLIGATORIO</t>
  </si>
  <si>
    <t>SUELDO O VENTAS MAYOR AL PROMEDIO</t>
  </si>
  <si>
    <t>N° de empleados</t>
  </si>
  <si>
    <t>Tipo de empleado</t>
  </si>
  <si>
    <t>Cargo</t>
  </si>
  <si>
    <t xml:space="preserve"> --</t>
  </si>
  <si>
    <t>BUENO</t>
  </si>
  <si>
    <t>EXCELENTE</t>
  </si>
  <si>
    <t>MALO</t>
  </si>
  <si>
    <t>MUY MALO</t>
  </si>
  <si>
    <t>REGULAR</t>
  </si>
  <si>
    <t>Categoría ventas</t>
  </si>
  <si>
    <t>Positivo al Covid 19</t>
  </si>
  <si>
    <t>Distrito</t>
  </si>
  <si>
    <t>Promedio de SUELDO</t>
  </si>
  <si>
    <t>Promedio de EDAD</t>
  </si>
  <si>
    <t>N° EMPLEADOS POSITIVOS AL COVID 19 POR DISTRITO</t>
  </si>
  <si>
    <t>N° EMPLEADOS POSITIVOS AL COVID 19 POR CARGO</t>
  </si>
  <si>
    <t>N° EMPLEADOS POSITIVOS AL COVID 19 POR TIPO DE EMPLEADO</t>
  </si>
  <si>
    <t>inga.guz1991@miempresa.com</t>
  </si>
  <si>
    <t>panduro.gue1977@miempresa.com</t>
  </si>
  <si>
    <t>--</t>
  </si>
  <si>
    <t>vargas.ach1984@miempresa.com</t>
  </si>
  <si>
    <t>ortiz.pai1989@miempresa.com</t>
  </si>
  <si>
    <t>tuesta.sor1992@miempresa.com</t>
  </si>
  <si>
    <t>mendoza.vid1985@miempresa.com</t>
  </si>
  <si>
    <t>arevalo.gon1973@miempresa.com</t>
  </si>
  <si>
    <t>muñoz.zuñ1973@miempresa.com</t>
  </si>
  <si>
    <t>ruiz.cah1996@miempresa.com</t>
  </si>
  <si>
    <t>mogrovejo.dia1983@miempresa.com</t>
  </si>
  <si>
    <t>sanchez.de 1985@miempresa.com</t>
  </si>
  <si>
    <t>rios.par1988@miempresa.com</t>
  </si>
  <si>
    <t>sanchez.rio1987@miempresa.com</t>
  </si>
  <si>
    <t>paredes.gra1992@miempresa.com</t>
  </si>
  <si>
    <t>vasquez.may1984@miempresa.com</t>
  </si>
  <si>
    <t>vela.de 1998@miempresa.com</t>
  </si>
  <si>
    <t>saboya.tor1975@miempresa.com</t>
  </si>
  <si>
    <t>echevarria.ing1982@miempresa.com</t>
  </si>
  <si>
    <t>rengifo.pug1979@miempresa.com</t>
  </si>
  <si>
    <t>ruiz.per1981@miempresa.com</t>
  </si>
  <si>
    <t>flores.per1995@miempresa.com</t>
  </si>
  <si>
    <t>almeyda.pan1978@miempresa.com</t>
  </si>
  <si>
    <t>portocarrero.rea1983@miempresa.com</t>
  </si>
  <si>
    <t>perez.mon1985@miempresa.com</t>
  </si>
  <si>
    <t>diaz.gon1989@miempresa.com</t>
  </si>
  <si>
    <t>lopez.och1972@miempresa.com</t>
  </si>
  <si>
    <t>serruche.veg1979@miempresa.com</t>
  </si>
  <si>
    <t>lopez.enc1973@miempresa.com</t>
  </si>
  <si>
    <t>arevalo.flo1996@miempresa.com</t>
  </si>
  <si>
    <t>del.agu1977@miempresa.com</t>
  </si>
  <si>
    <t>lopez.nav1998@miempresa.com</t>
  </si>
  <si>
    <t>rios.vel1985@miempresa.com</t>
  </si>
  <si>
    <t>PROYECTO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</si>
</sst>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"/>
    <numFmt numFmtId="165" formatCode="[$-F400]h:mm:ss\ AM/PM"/>
  </numFmts>
  <fonts count="13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2"/>
      <color rgb="FF002060"/>
      <name val="Bahnschrift SemiCondensed"/>
      <family val="2"/>
    </font>
    <font>
      <i/>
      <sz val="12"/>
      <color theme="1"/>
      <name val="Century Gothic"/>
      <family val="2"/>
      <scheme val="minor"/>
    </font>
    <font>
      <b/>
      <sz val="11"/>
      <color rgb="FFFF0000"/>
      <name val="Century Gothic"/>
      <family val="2"/>
      <scheme val="minor"/>
    </font>
    <font>
      <b/>
      <sz val="14"/>
      <color rgb="FFFF0000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i/>
      <sz val="16"/>
      <color theme="1"/>
      <name val="Calisto MT"/>
      <family val="1"/>
    </font>
    <font>
      <b/>
      <sz val="14"/>
      <color theme="1"/>
      <name val="Arial Rounded MT Bold"/>
      <family val="2"/>
    </font>
    <font>
      <b/>
      <sz val="18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center"/>
    </xf>
    <xf numFmtId="0" fontId="3" fillId="4" borderId="2" xfId="0" applyFont="1" applyFill="1" applyBorder="1" applyAlignment="1">
      <alignment horizontal="justify" vertical="center"/>
    </xf>
    <xf numFmtId="0" fontId="3" fillId="4" borderId="1" xfId="0" applyFont="1" applyFill="1" applyBorder="1" applyAlignment="1">
      <alignment horizontal="justify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justify" vertical="center"/>
    </xf>
    <xf numFmtId="164" fontId="1" fillId="4" borderId="8" xfId="0" applyNumberFormat="1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2" xfId="0" pivotButton="1" applyBorder="1"/>
    <xf numFmtId="0" fontId="0" fillId="0" borderId="12" xfId="0" applyBorder="1" applyAlignment="1">
      <alignment horizontal="left"/>
    </xf>
    <xf numFmtId="0" fontId="0" fillId="0" borderId="0" xfId="0" pivotButton="1"/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6" borderId="0" xfId="0" applyFill="1"/>
    <xf numFmtId="0" fontId="6" fillId="6" borderId="0" xfId="0" applyFon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left"/>
    </xf>
    <xf numFmtId="16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0" fillId="7" borderId="0" xfId="0" applyFill="1"/>
    <xf numFmtId="14" fontId="0" fillId="0" borderId="0" xfId="0" applyNumberFormat="1"/>
    <xf numFmtId="21" fontId="0" fillId="0" borderId="0" xfId="0" applyNumberFormat="1"/>
    <xf numFmtId="2" fontId="0" fillId="0" borderId="0" xfId="0" applyNumberFormat="1" applyAlignment="1">
      <alignment horizontal="left" indent="8"/>
    </xf>
    <xf numFmtId="0" fontId="1" fillId="7" borderId="0" xfId="0" applyFont="1" applyFill="1"/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1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5" borderId="12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13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</cellXfs>
  <cellStyles count="1">
    <cellStyle name="Normal" xfId="0" builtinId="0"/>
  </cellStyles>
  <dxfs count="97">
    <dxf>
      <numFmt numFmtId="1" formatCode="0"/>
    </dxf>
    <dxf>
      <numFmt numFmtId="2" formatCode="0.00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numFmt numFmtId="26" formatCode="hh:mm:ss"/>
    </dxf>
    <dxf>
      <numFmt numFmtId="26" formatCode="hh:mm:ss"/>
    </dxf>
    <dxf>
      <numFmt numFmtId="19" formatCode="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S/&quot;\ 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S/&quot;\ 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Bahnschrift SemiCondensed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S/&quot;\ #,##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548"/>
      <color rgb="FF42726D"/>
      <color rgb="FF012E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[Informe_Recursos_Humanos.xlsx]TD!TablaDinámica1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002060"/>
                </a:solidFill>
              </a:rPr>
              <a:t>sueldo</a:t>
            </a:r>
            <a:r>
              <a:rPr lang="en-US" sz="1200" baseline="0">
                <a:solidFill>
                  <a:srgbClr val="002060"/>
                </a:solidFill>
              </a:rPr>
              <a:t> total por distrito</a:t>
            </a:r>
            <a:endParaRPr lang="en-US" sz="1200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TD!$A$4:$A$14</c:f>
              <c:strCache>
                <c:ptCount val="10"/>
                <c:pt idx="0">
                  <c:v>Comas</c:v>
                </c:pt>
                <c:pt idx="1">
                  <c:v>Jesús María</c:v>
                </c:pt>
                <c:pt idx="2">
                  <c:v>La Molina</c:v>
                </c:pt>
                <c:pt idx="3">
                  <c:v>La Victoria</c:v>
                </c:pt>
                <c:pt idx="4">
                  <c:v>Lince</c:v>
                </c:pt>
                <c:pt idx="5">
                  <c:v>Los Olivos</c:v>
                </c:pt>
                <c:pt idx="6">
                  <c:v>Miraflores</c:v>
                </c:pt>
                <c:pt idx="7">
                  <c:v>San Borja</c:v>
                </c:pt>
                <c:pt idx="8">
                  <c:v>San Juan de Lurigancho</c:v>
                </c:pt>
                <c:pt idx="9">
                  <c:v>Santa Anita</c:v>
                </c:pt>
              </c:strCache>
            </c:strRef>
          </c:cat>
          <c:val>
            <c:numRef>
              <c:f>TD!$B$4:$B$14</c:f>
              <c:numCache>
                <c:formatCode>General</c:formatCode>
                <c:ptCount val="10"/>
                <c:pt idx="0">
                  <c:v>22925</c:v>
                </c:pt>
                <c:pt idx="1">
                  <c:v>35850</c:v>
                </c:pt>
                <c:pt idx="2">
                  <c:v>21600</c:v>
                </c:pt>
                <c:pt idx="3">
                  <c:v>16900</c:v>
                </c:pt>
                <c:pt idx="4">
                  <c:v>18525</c:v>
                </c:pt>
                <c:pt idx="5">
                  <c:v>24700</c:v>
                </c:pt>
                <c:pt idx="6">
                  <c:v>14525</c:v>
                </c:pt>
                <c:pt idx="7">
                  <c:v>22150</c:v>
                </c:pt>
                <c:pt idx="8">
                  <c:v>21300</c:v>
                </c:pt>
                <c:pt idx="9">
                  <c:v>15375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9-4DDA-8E25-32D6A6BFA6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215078335"/>
        <c:axId val="215077375"/>
        <c:axId val="0"/>
      </c:bar3DChart>
      <c:catAx>
        <c:axId val="21507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077375"/>
        <c:crosses val="autoZero"/>
        <c:auto val="1"/>
        <c:lblAlgn val="ctr"/>
        <c:lblOffset val="100"/>
        <c:noMultiLvlLbl val="0"/>
      </c:catAx>
      <c:valAx>
        <c:axId val="21507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07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[Informe_Recursos_Humanos.xlsx]TD!TablaDinámica2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2060"/>
                </a:solidFill>
              </a:rPr>
              <a:t>NÚMERO</a:t>
            </a:r>
            <a:r>
              <a:rPr lang="en-US" sz="1200" b="1" baseline="0">
                <a:solidFill>
                  <a:srgbClr val="002060"/>
                </a:solidFill>
              </a:rPr>
              <a:t> DE TRABAJADORES POR CARGO</a:t>
            </a:r>
            <a:endParaRPr lang="en-US" sz="12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0682730923694842E-2"/>
              <c:y val="-2.06318462293878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C3-4368-850A-44ECD812A4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BA-4479-8CB0-5A612D52AAA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C3-4368-850A-44ECD812A4A1}"/>
              </c:ext>
            </c:extLst>
          </c:dPt>
          <c:dLbls>
            <c:dLbl>
              <c:idx val="1"/>
              <c:layout>
                <c:manualLayout>
                  <c:x val="7.0682730923694842E-2"/>
                  <c:y val="-2.063184622938785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BA-4479-8CB0-5A612D52AAA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TD!$A$21:$A$24</c:f>
              <c:strCache>
                <c:ptCount val="3"/>
                <c:pt idx="0">
                  <c:v>Administrativo</c:v>
                </c:pt>
                <c:pt idx="1">
                  <c:v>Planta</c:v>
                </c:pt>
                <c:pt idx="2">
                  <c:v>Ventas</c:v>
                </c:pt>
              </c:strCache>
            </c:strRef>
          </c:cat>
          <c:val>
            <c:numRef>
              <c:f>TD!$B$21:$B$24</c:f>
              <c:numCache>
                <c:formatCode>General</c:formatCode>
                <c:ptCount val="3"/>
                <c:pt idx="0">
                  <c:v>31</c:v>
                </c:pt>
                <c:pt idx="1">
                  <c:v>30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A-4479-8CB0-5A612D52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[Informe_Recursos_Humanos.xlsx]TD!TablaDinámica3</c:name>
    <c:fmtId val="0"/>
  </c:pivotSource>
  <c:chart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TD!$B$35:$B$36</c:f>
              <c:strCache>
                <c:ptCount val="1"/>
                <c:pt idx="0">
                  <c:v>Administrativo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TD!$A$37:$A$40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TD!$B$37:$B$40</c:f>
              <c:numCache>
                <c:formatCode>General</c:formatCode>
                <c:ptCount val="3"/>
                <c:pt idx="0">
                  <c:v>19000</c:v>
                </c:pt>
                <c:pt idx="1">
                  <c:v>33475</c:v>
                </c:pt>
                <c:pt idx="2">
                  <c:v>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2-457C-B7AC-A9CD8E4B93B9}"/>
            </c:ext>
          </c:extLst>
        </c:ser>
        <c:ser>
          <c:idx val="1"/>
          <c:order val="1"/>
          <c:tx>
            <c:strRef>
              <c:f>TD!$C$35:$C$36</c:f>
              <c:strCache>
                <c:ptCount val="1"/>
                <c:pt idx="0">
                  <c:v>Planta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TD!$A$37:$A$40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TD!$C$37:$C$40</c:f>
              <c:numCache>
                <c:formatCode>General</c:formatCode>
                <c:ptCount val="3"/>
                <c:pt idx="0">
                  <c:v>13825</c:v>
                </c:pt>
                <c:pt idx="1">
                  <c:v>28275</c:v>
                </c:pt>
                <c:pt idx="2">
                  <c:v>17750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2-457C-B7AC-A9CD8E4B93B9}"/>
            </c:ext>
          </c:extLst>
        </c:ser>
        <c:ser>
          <c:idx val="2"/>
          <c:order val="2"/>
          <c:tx>
            <c:strRef>
              <c:f>TD!$D$35:$D$36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TD!$A$37:$A$40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TD!$D$37:$D$40</c:f>
              <c:numCache>
                <c:formatCode>General</c:formatCode>
                <c:ptCount val="3"/>
                <c:pt idx="0">
                  <c:v>34425</c:v>
                </c:pt>
                <c:pt idx="1">
                  <c:v>28925</c:v>
                </c:pt>
                <c:pt idx="2">
                  <c:v>16425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F2-457C-B7AC-A9CD8E4B9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0577967"/>
        <c:axId val="40578447"/>
      </c:barChart>
      <c:catAx>
        <c:axId val="405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578447"/>
        <c:crosses val="autoZero"/>
        <c:auto val="1"/>
        <c:lblAlgn val="ctr"/>
        <c:lblOffset val="100"/>
        <c:noMultiLvlLbl val="0"/>
      </c:catAx>
      <c:valAx>
        <c:axId val="405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05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[Informe_Recursos_Humanos.xlsx]TD!TablaDinámica4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2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2060"/>
                </a:solidFill>
              </a:rPr>
              <a:t>NÚMERO</a:t>
            </a:r>
            <a:r>
              <a:rPr lang="en-US" sz="1200" b="1" baseline="0">
                <a:solidFill>
                  <a:srgbClr val="002060"/>
                </a:solidFill>
              </a:rPr>
              <a:t> DE TRABAJADORES POR RANGO DE EDAD</a:t>
            </a:r>
            <a:endParaRPr lang="en-US" sz="12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2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69000"/>
                  <a:alpha val="100000"/>
                  <a:satMod val="109000"/>
                  <a:lumMod val="110000"/>
                </a:schemeClr>
              </a:gs>
              <a:gs pos="52000">
                <a:schemeClr val="accent6">
                  <a:tint val="74000"/>
                  <a:satMod val="100000"/>
                  <a:lumMod val="104000"/>
                </a:schemeClr>
              </a:gs>
              <a:gs pos="100000">
                <a:schemeClr val="accent6">
                  <a:tint val="78000"/>
                  <a:satMod val="100000"/>
                  <a:lumMod val="100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TD!$B$52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9000"/>
                    <a:alpha val="100000"/>
                    <a:satMod val="109000"/>
                    <a:lumMod val="110000"/>
                  </a:schemeClr>
                </a:gs>
                <a:gs pos="52000">
                  <a:schemeClr val="accent6">
                    <a:tint val="74000"/>
                    <a:satMod val="100000"/>
                    <a:lumMod val="104000"/>
                  </a:schemeClr>
                </a:gs>
                <a:gs pos="100000">
                  <a:schemeClr val="accent6">
                    <a:tint val="78000"/>
                    <a:satMod val="100000"/>
                    <a:lumMod val="100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TD!$A$53:$A$59</c:f>
              <c:strCache>
                <c:ptCount val="6"/>
                <c:pt idx="0">
                  <c:v>21-25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</c:strCache>
            </c:strRef>
          </c:cat>
          <c:val>
            <c:numRef>
              <c:f>TD!$B$53:$B$59</c:f>
              <c:numCache>
                <c:formatCode>General</c:formatCode>
                <c:ptCount val="6"/>
                <c:pt idx="0">
                  <c:v>9</c:v>
                </c:pt>
                <c:pt idx="1">
                  <c:v>21</c:v>
                </c:pt>
                <c:pt idx="2">
                  <c:v>12</c:v>
                </c:pt>
                <c:pt idx="3">
                  <c:v>24</c:v>
                </c:pt>
                <c:pt idx="4">
                  <c:v>18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558-A3CC-7732FBAD8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5807519"/>
        <c:axId val="235805119"/>
        <c:axId val="0"/>
      </c:bar3DChart>
      <c:catAx>
        <c:axId val="23580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35805119"/>
        <c:crosses val="autoZero"/>
        <c:auto val="1"/>
        <c:lblAlgn val="ctr"/>
        <c:lblOffset val="100"/>
        <c:noMultiLvlLbl val="0"/>
      </c:catAx>
      <c:valAx>
        <c:axId val="23580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3580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bg1"/>
                </a:solidFill>
              </a:rPr>
              <a:t>TOTAL</a:t>
            </a:r>
            <a:r>
              <a:rPr lang="es-PE" b="1" baseline="0">
                <a:solidFill>
                  <a:schemeClr val="bg1"/>
                </a:solidFill>
              </a:rPr>
              <a:t> DE EMPLEADOS POR DISTRITO</a:t>
            </a:r>
            <a:endParaRPr lang="es-PE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shade val="4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shade val="5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>
              <a:shade val="6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shade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shade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>
              <a:tint val="9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>
              <a:tint val="8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5">
              <a:tint val="6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5">
              <a:tint val="5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5">
              <a:tint val="4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TD_DASH!$B$4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14-4653-9123-44127BA13156}"/>
              </c:ext>
            </c:extLst>
          </c:dPt>
          <c:dPt>
            <c:idx val="1"/>
            <c:bubble3D val="0"/>
            <c:spPr>
              <a:solidFill>
                <a:schemeClr val="accent5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4-4653-9123-44127BA13156}"/>
              </c:ext>
            </c:extLst>
          </c:dPt>
          <c:dPt>
            <c:idx val="2"/>
            <c:bubble3D val="0"/>
            <c:spPr>
              <a:solidFill>
                <a:schemeClr val="accent5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14-4653-9123-44127BA13156}"/>
              </c:ext>
            </c:extLst>
          </c:dPt>
          <c:dPt>
            <c:idx val="3"/>
            <c:bubble3D val="0"/>
            <c:spPr>
              <a:solidFill>
                <a:schemeClr val="accent5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14-4653-9123-44127BA13156}"/>
              </c:ext>
            </c:extLst>
          </c:dPt>
          <c:dPt>
            <c:idx val="4"/>
            <c:bubble3D val="0"/>
            <c:spPr>
              <a:solidFill>
                <a:schemeClr val="accent5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14-4653-9123-44127BA13156}"/>
              </c:ext>
            </c:extLst>
          </c:dPt>
          <c:dPt>
            <c:idx val="5"/>
            <c:bubble3D val="0"/>
            <c:spPr>
              <a:solidFill>
                <a:schemeClr val="accent5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14-4653-9123-44127BA13156}"/>
              </c:ext>
            </c:extLst>
          </c:dPt>
          <c:dPt>
            <c:idx val="6"/>
            <c:bubble3D val="0"/>
            <c:spPr>
              <a:solidFill>
                <a:schemeClr val="accent5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14-4653-9123-44127BA13156}"/>
              </c:ext>
            </c:extLst>
          </c:dPt>
          <c:dPt>
            <c:idx val="7"/>
            <c:bubble3D val="0"/>
            <c:spPr>
              <a:solidFill>
                <a:schemeClr val="accent5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14-4653-9123-44127BA13156}"/>
              </c:ext>
            </c:extLst>
          </c:dPt>
          <c:dPt>
            <c:idx val="8"/>
            <c:bubble3D val="0"/>
            <c:spPr>
              <a:solidFill>
                <a:schemeClr val="accent5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14-4653-9123-44127BA13156}"/>
              </c:ext>
            </c:extLst>
          </c:dPt>
          <c:dPt>
            <c:idx val="9"/>
            <c:bubble3D val="0"/>
            <c:spPr>
              <a:solidFill>
                <a:schemeClr val="accent5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C14-4653-9123-44127BA131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TD_DASH!$A$5:$A$15</c:f>
              <c:strCache>
                <c:ptCount val="10"/>
                <c:pt idx="0">
                  <c:v>Comas</c:v>
                </c:pt>
                <c:pt idx="1">
                  <c:v>Jesús María</c:v>
                </c:pt>
                <c:pt idx="2">
                  <c:v>La Molina</c:v>
                </c:pt>
                <c:pt idx="3">
                  <c:v>La Victoria</c:v>
                </c:pt>
                <c:pt idx="4">
                  <c:v>Lince</c:v>
                </c:pt>
                <c:pt idx="5">
                  <c:v>Los Olivos</c:v>
                </c:pt>
                <c:pt idx="6">
                  <c:v>Miraflores</c:v>
                </c:pt>
                <c:pt idx="7">
                  <c:v>San Borja</c:v>
                </c:pt>
                <c:pt idx="8">
                  <c:v>San Juan de Lurigancho</c:v>
                </c:pt>
                <c:pt idx="9">
                  <c:v>Santa Anita</c:v>
                </c:pt>
              </c:strCache>
            </c:strRef>
          </c:cat>
          <c:val>
            <c:numRef>
              <c:f>TD_DASH!$B$5:$B$15</c:f>
              <c:numCache>
                <c:formatCode>General</c:formatCode>
                <c:ptCount val="10"/>
                <c:pt idx="0">
                  <c:v>11</c:v>
                </c:pt>
                <c:pt idx="1">
                  <c:v>16</c:v>
                </c:pt>
                <c:pt idx="2">
                  <c:v>10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14-4653-9123-44127BA131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TOTAL DE EMPLEADOS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TD_DASH!$E$11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FF-4D81-861F-CA0E1E284DD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FF-4D81-861F-CA0E1E284DDA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FF-4D81-861F-CA0E1E284D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TD_DASH!$D$12:$D$15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TD_DASH!$E$12:$E$15</c:f>
              <c:numCache>
                <c:formatCode>General</c:formatCode>
                <c:ptCount val="3"/>
                <c:pt idx="0">
                  <c:v>32</c:v>
                </c:pt>
                <c:pt idx="1">
                  <c:v>39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FF-4D81-861F-CA0E1E284D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DE EMPLEADOS POR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TD_DASH!$E$4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DC-4AD1-BE7B-B811FEE0850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DC-4AD1-BE7B-B811FEE08503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DC-4AD1-BE7B-B811FEE085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TD_DASH!$D$5:$D$8</c:f>
              <c:strCache>
                <c:ptCount val="3"/>
                <c:pt idx="0">
                  <c:v>Administrativo</c:v>
                </c:pt>
                <c:pt idx="1">
                  <c:v>Planta</c:v>
                </c:pt>
                <c:pt idx="2">
                  <c:v>Ventas</c:v>
                </c:pt>
              </c:strCache>
            </c:strRef>
          </c:cat>
          <c:val>
            <c:numRef>
              <c:f>TD_DASH!$E$5:$E$8</c:f>
              <c:numCache>
                <c:formatCode>General</c:formatCode>
                <c:ptCount val="3"/>
                <c:pt idx="0">
                  <c:v>31</c:v>
                </c:pt>
                <c:pt idx="1">
                  <c:v>30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DC-4AD1-BE7B-B811FEE085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[Informe_Recursos_Humanos.xlsx]TD_DASH!TablaDinámica10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TD_DASH!$B$18:$B$19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TD_DASH!$A$20:$A$30</c:f>
              <c:strCache>
                <c:ptCount val="10"/>
                <c:pt idx="0">
                  <c:v>Comas</c:v>
                </c:pt>
                <c:pt idx="1">
                  <c:v>Jesús María</c:v>
                </c:pt>
                <c:pt idx="2">
                  <c:v>La Molina</c:v>
                </c:pt>
                <c:pt idx="3">
                  <c:v>La Victoria</c:v>
                </c:pt>
                <c:pt idx="4">
                  <c:v>Lince</c:v>
                </c:pt>
                <c:pt idx="5">
                  <c:v>Los Olivos</c:v>
                </c:pt>
                <c:pt idx="6">
                  <c:v>Miraflores</c:v>
                </c:pt>
                <c:pt idx="7">
                  <c:v>San Borja</c:v>
                </c:pt>
                <c:pt idx="8">
                  <c:v>San Juan de Lurigancho</c:v>
                </c:pt>
                <c:pt idx="9">
                  <c:v>Santa Anita</c:v>
                </c:pt>
              </c:strCache>
            </c:strRef>
          </c:cat>
          <c:val>
            <c:numRef>
              <c:f>TD_DASH!$B$20:$B$30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F-47A3-963F-CCB699103D37}"/>
            </c:ext>
          </c:extLst>
        </c:ser>
        <c:ser>
          <c:idx val="1"/>
          <c:order val="1"/>
          <c:tx>
            <c:strRef>
              <c:f>TD_DASH!$C$18:$C$19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TD_DASH!$A$20:$A$30</c:f>
              <c:strCache>
                <c:ptCount val="10"/>
                <c:pt idx="0">
                  <c:v>Comas</c:v>
                </c:pt>
                <c:pt idx="1">
                  <c:v>Jesús María</c:v>
                </c:pt>
                <c:pt idx="2">
                  <c:v>La Molina</c:v>
                </c:pt>
                <c:pt idx="3">
                  <c:v>La Victoria</c:v>
                </c:pt>
                <c:pt idx="4">
                  <c:v>Lince</c:v>
                </c:pt>
                <c:pt idx="5">
                  <c:v>Los Olivos</c:v>
                </c:pt>
                <c:pt idx="6">
                  <c:v>Miraflores</c:v>
                </c:pt>
                <c:pt idx="7">
                  <c:v>San Borja</c:v>
                </c:pt>
                <c:pt idx="8">
                  <c:v>San Juan de Lurigancho</c:v>
                </c:pt>
                <c:pt idx="9">
                  <c:v>Santa Anita</c:v>
                </c:pt>
              </c:strCache>
            </c:strRef>
          </c:cat>
          <c:val>
            <c:numRef>
              <c:f>TD_DASH!$C$20:$C$30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FF-47A3-963F-CCB699103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01312"/>
        <c:axId val="45300352"/>
      </c:barChart>
      <c:catAx>
        <c:axId val="4530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300352"/>
        <c:crosses val="autoZero"/>
        <c:auto val="1"/>
        <c:lblAlgn val="ctr"/>
        <c:lblOffset val="100"/>
        <c:noMultiLvlLbl val="0"/>
      </c:catAx>
      <c:valAx>
        <c:axId val="453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3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[Informe_Recursos_Humanos.xlsx]TD_DASH!TablaDinámica11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TD_DASH!$G$18:$G$19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TD_DASH!$F$20:$F$23</c:f>
              <c:strCache>
                <c:ptCount val="3"/>
                <c:pt idx="0">
                  <c:v>Administrativo</c:v>
                </c:pt>
                <c:pt idx="1">
                  <c:v>Planta</c:v>
                </c:pt>
                <c:pt idx="2">
                  <c:v>Ventas</c:v>
                </c:pt>
              </c:strCache>
            </c:strRef>
          </c:cat>
          <c:val>
            <c:numRef>
              <c:f>TD_DASH!$G$20:$G$23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6-4BEA-A04C-22BE61869E22}"/>
            </c:ext>
          </c:extLst>
        </c:ser>
        <c:ser>
          <c:idx val="1"/>
          <c:order val="1"/>
          <c:tx>
            <c:strRef>
              <c:f>TD_DASH!$H$18:$H$19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TD_DASH!$F$20:$F$23</c:f>
              <c:strCache>
                <c:ptCount val="3"/>
                <c:pt idx="0">
                  <c:v>Administrativo</c:v>
                </c:pt>
                <c:pt idx="1">
                  <c:v>Planta</c:v>
                </c:pt>
                <c:pt idx="2">
                  <c:v>Ventas</c:v>
                </c:pt>
              </c:strCache>
            </c:strRef>
          </c:cat>
          <c:val>
            <c:numRef>
              <c:f>TD_DASH!$H$20:$H$23</c:f>
              <c:numCache>
                <c:formatCode>General</c:formatCode>
                <c:ptCount val="3"/>
                <c:pt idx="0">
                  <c:v>14</c:v>
                </c:pt>
                <c:pt idx="1">
                  <c:v>13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D6-4BEA-A04C-22BE61869E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394336"/>
        <c:axId val="54393856"/>
      </c:barChart>
      <c:catAx>
        <c:axId val="543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393856"/>
        <c:crosses val="autoZero"/>
        <c:auto val="1"/>
        <c:lblAlgn val="ctr"/>
        <c:lblOffset val="100"/>
        <c:noMultiLvlLbl val="0"/>
      </c:catAx>
      <c:valAx>
        <c:axId val="543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39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[Informe_Recursos_Humanos.xlsx]TD_DASH!TablaDinámica12</c:name>
    <c:fmtId val="3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TD_DASH!$G$25:$G$26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TD_DASH!$F$27:$F$30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TD_DASH!$G$27:$G$30</c:f>
              <c:numCache>
                <c:formatCode>General</c:formatCode>
                <c:ptCount val="3"/>
                <c:pt idx="0">
                  <c:v>17</c:v>
                </c:pt>
                <c:pt idx="1">
                  <c:v>19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1-40BE-A17B-B0C86C17B059}"/>
            </c:ext>
          </c:extLst>
        </c:ser>
        <c:ser>
          <c:idx val="1"/>
          <c:order val="1"/>
          <c:tx>
            <c:strRef>
              <c:f>TD_DASH!$H$25:$H$26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TD_DASH!$F$27:$F$30</c:f>
              <c:strCache>
                <c:ptCount val="3"/>
                <c:pt idx="0">
                  <c:v>Contratado</c:v>
                </c:pt>
                <c:pt idx="1">
                  <c:v>Nombrado</c:v>
                </c:pt>
                <c:pt idx="2">
                  <c:v>Temporal</c:v>
                </c:pt>
              </c:strCache>
            </c:strRef>
          </c:cat>
          <c:val>
            <c:numRef>
              <c:f>TD_DASH!$H$27:$H$30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81-40BE-A17B-B0C86C17B0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389504"/>
        <c:axId val="2131006064"/>
      </c:barChart>
      <c:catAx>
        <c:axId val="853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1006064"/>
        <c:crosses val="autoZero"/>
        <c:auto val="1"/>
        <c:lblAlgn val="ctr"/>
        <c:lblOffset val="100"/>
        <c:noMultiLvlLbl val="0"/>
      </c:catAx>
      <c:valAx>
        <c:axId val="213100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53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[Informe_Recursos_Humanos.xlsx]TD_DASH!TablaDinámica7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</a:rPr>
              <a:t>TOTAL DE EMPLEADOS CATEGORIZADOS</a:t>
            </a:r>
            <a:r>
              <a:rPr lang="en-US" sz="1100" b="1" baseline="0">
                <a:solidFill>
                  <a:schemeClr val="bg1"/>
                </a:solidFill>
              </a:rPr>
              <a:t> POR VENTAS</a:t>
            </a:r>
            <a:endParaRPr lang="en-US" sz="11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TD_DASH!$K$4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TD_DASH!$J$5:$J$10</c:f>
              <c:strCache>
                <c:ptCount val="5"/>
                <c:pt idx="0">
                  <c:v>BUENO</c:v>
                </c:pt>
                <c:pt idx="1">
                  <c:v>EXCELENTE</c:v>
                </c:pt>
                <c:pt idx="2">
                  <c:v>MALO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TD_DASH!$K$5:$K$10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5-4052-A138-E128C428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50064"/>
        <c:axId val="98649584"/>
      </c:radarChart>
      <c:catAx>
        <c:axId val="9865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649584"/>
        <c:crosses val="autoZero"/>
        <c:auto val="1"/>
        <c:lblAlgn val="ctr"/>
        <c:lblOffset val="100"/>
        <c:noMultiLvlLbl val="0"/>
      </c:catAx>
      <c:valAx>
        <c:axId val="986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6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641283763580188"/>
          <c:y val="0.88072233689235435"/>
          <c:w val="0.2110555167945779"/>
          <c:h val="7.6052289580307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image" Target="../media/image6.png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image" Target="../media/image5.svg"/><Relationship Id="rId2" Type="http://schemas.openxmlformats.org/officeDocument/2006/relationships/chart" Target="../charts/chart5.xml"/><Relationship Id="rId16" Type="http://schemas.openxmlformats.org/officeDocument/2006/relationships/image" Target="../media/image9.sv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11" Type="http://schemas.openxmlformats.org/officeDocument/2006/relationships/image" Target="../media/image4.png"/><Relationship Id="rId5" Type="http://schemas.openxmlformats.org/officeDocument/2006/relationships/chart" Target="../charts/chart8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chart" Target="../charts/chart7.xml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109537</xdr:rowOff>
    </xdr:from>
    <xdr:to>
      <xdr:col>9</xdr:col>
      <xdr:colOff>514350</xdr:colOff>
      <xdr:row>15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B4AB34-74C3-E72E-EBE3-F89428CB2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257175</xdr:colOff>
      <xdr:row>24</xdr:row>
      <xdr:rowOff>180977</xdr:rowOff>
    </xdr:from>
    <xdr:to>
      <xdr:col>1</xdr:col>
      <xdr:colOff>742950</xdr:colOff>
      <xdr:row>30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E EMPLEADO">
              <a:extLst>
                <a:ext uri="{FF2B5EF4-FFF2-40B4-BE49-F238E27FC236}">
                  <a16:creationId xmlns:a16="http://schemas.microsoft.com/office/drawing/2014/main" id="{E1A288A9-A5EC-C87A-5EE0-77E2E1AF02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4848227"/>
              <a:ext cx="1819275" cy="1152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523875</xdr:colOff>
      <xdr:row>18</xdr:row>
      <xdr:rowOff>80961</xdr:rowOff>
    </xdr:from>
    <xdr:to>
      <xdr:col>10</xdr:col>
      <xdr:colOff>638175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7885B8-0C92-118A-1D8B-59A57952A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466725</xdr:colOff>
      <xdr:row>33</xdr:row>
      <xdr:rowOff>90487</xdr:rowOff>
    </xdr:from>
    <xdr:to>
      <xdr:col>11</xdr:col>
      <xdr:colOff>466725</xdr:colOff>
      <xdr:row>47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F4ECCA-2BD7-508A-1248-0C85C3C68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238125</xdr:colOff>
      <xdr:row>50</xdr:row>
      <xdr:rowOff>147636</xdr:rowOff>
    </xdr:from>
    <xdr:to>
      <xdr:col>9</xdr:col>
      <xdr:colOff>752475</xdr:colOff>
      <xdr:row>65</xdr:row>
      <xdr:rowOff>190499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9914B0-D0F6-C95C-C781-57A015D4E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83344</xdr:rowOff>
    </xdr:from>
    <xdr:to>
      <xdr:col>4</xdr:col>
      <xdr:colOff>209550</xdr:colOff>
      <xdr:row>53</xdr:row>
      <xdr:rowOff>31750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A3FAB355-67F0-4606-A2CC-C3FED5C0796E}"/>
            </a:ext>
          </a:extLst>
        </xdr:cNvPr>
        <xdr:cNvSpPr/>
      </xdr:nvSpPr>
      <xdr:spPr>
        <a:xfrm>
          <a:off x="57150" y="6788944"/>
          <a:ext cx="3505200" cy="4348956"/>
        </a:xfrm>
        <a:prstGeom prst="roundRect">
          <a:avLst>
            <a:gd name="adj" fmla="val 9818"/>
          </a:avLst>
        </a:prstGeom>
        <a:solidFill>
          <a:schemeClr val="tx1"/>
        </a:solidFill>
        <a:ln w="19050">
          <a:solidFill>
            <a:srgbClr val="00354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257175</xdr:colOff>
      <xdr:row>7</xdr:row>
      <xdr:rowOff>161925</xdr:rowOff>
    </xdr:from>
    <xdr:to>
      <xdr:col>16</xdr:col>
      <xdr:colOff>158750</xdr:colOff>
      <xdr:row>53</xdr:row>
      <xdr:rowOff>31750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18FDBC2A-0277-4E06-949A-BD18F34391AA}"/>
            </a:ext>
          </a:extLst>
        </xdr:cNvPr>
        <xdr:cNvSpPr/>
      </xdr:nvSpPr>
      <xdr:spPr>
        <a:xfrm>
          <a:off x="3601508" y="1643592"/>
          <a:ext cx="9934575" cy="9606491"/>
        </a:xfrm>
        <a:prstGeom prst="roundRect">
          <a:avLst>
            <a:gd name="adj" fmla="val 3812"/>
          </a:avLst>
        </a:prstGeom>
        <a:solidFill>
          <a:schemeClr val="tx1"/>
        </a:solidFill>
        <a:ln w="19050">
          <a:solidFill>
            <a:srgbClr val="00354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114300</xdr:colOff>
      <xdr:row>3</xdr:row>
      <xdr:rowOff>66674</xdr:rowOff>
    </xdr:from>
    <xdr:to>
      <xdr:col>4</xdr:col>
      <xdr:colOff>180975</xdr:colOff>
      <xdr:row>32</xdr:row>
      <xdr:rowOff>38099</xdr:rowOff>
    </xdr:to>
    <xdr:sp macro="" textlink="">
      <xdr:nvSpPr>
        <xdr:cNvPr id="42" name="Rectángulo: esquinas redondeadas 41">
          <a:extLst>
            <a:ext uri="{FF2B5EF4-FFF2-40B4-BE49-F238E27FC236}">
              <a16:creationId xmlns:a16="http://schemas.microsoft.com/office/drawing/2014/main" id="{2E56CDAC-12C5-1493-FA7B-3420C6E81A93}"/>
            </a:ext>
          </a:extLst>
        </xdr:cNvPr>
        <xdr:cNvSpPr/>
      </xdr:nvSpPr>
      <xdr:spPr>
        <a:xfrm>
          <a:off x="114300" y="695324"/>
          <a:ext cx="3419475" cy="6048375"/>
        </a:xfrm>
        <a:prstGeom prst="roundRect">
          <a:avLst/>
        </a:prstGeom>
        <a:solidFill>
          <a:schemeClr val="tx1"/>
        </a:solidFill>
        <a:ln w="19050">
          <a:solidFill>
            <a:srgbClr val="00354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201084</xdr:colOff>
      <xdr:row>3</xdr:row>
      <xdr:rowOff>201121</xdr:rowOff>
    </xdr:from>
    <xdr:to>
      <xdr:col>3</xdr:col>
      <xdr:colOff>48684</xdr:colOff>
      <xdr:row>11</xdr:row>
      <xdr:rowOff>47032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4DFA03-0A90-75FE-B397-FB92A3A4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167" y="836121"/>
          <a:ext cx="1519767" cy="153924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438152</xdr:colOff>
      <xdr:row>13</xdr:row>
      <xdr:rowOff>76201</xdr:rowOff>
    </xdr:from>
    <xdr:to>
      <xdr:col>4</xdr:col>
      <xdr:colOff>47625</xdr:colOff>
      <xdr:row>21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 DE EMPLEADO 1">
              <a:extLst>
                <a:ext uri="{FF2B5EF4-FFF2-40B4-BE49-F238E27FC236}">
                  <a16:creationId xmlns:a16="http://schemas.microsoft.com/office/drawing/2014/main" id="{B674285A-9535-42CE-A6C6-52F5B6547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EMPLE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2" y="2800351"/>
              <a:ext cx="1285873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438150</xdr:colOff>
      <xdr:row>21</xdr:row>
      <xdr:rowOff>95250</xdr:rowOff>
    </xdr:from>
    <xdr:to>
      <xdr:col>4</xdr:col>
      <xdr:colOff>47626</xdr:colOff>
      <xdr:row>30</xdr:row>
      <xdr:rowOff>47624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GO">
              <a:extLst>
                <a:ext uri="{FF2B5EF4-FFF2-40B4-BE49-F238E27FC236}">
                  <a16:creationId xmlns:a16="http://schemas.microsoft.com/office/drawing/2014/main" id="{5CED80B0-5D61-46F9-9838-D40DCF0E0B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" y="4495800"/>
              <a:ext cx="1285876" cy="1838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95250</xdr:colOff>
      <xdr:row>0</xdr:row>
      <xdr:rowOff>104774</xdr:rowOff>
    </xdr:from>
    <xdr:to>
      <xdr:col>16</xdr:col>
      <xdr:colOff>95250</xdr:colOff>
      <xdr:row>2</xdr:row>
      <xdr:rowOff>95249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1685031E-17EF-B519-1BCC-B56F6DC37EC3}"/>
            </a:ext>
          </a:extLst>
        </xdr:cNvPr>
        <xdr:cNvSpPr/>
      </xdr:nvSpPr>
      <xdr:spPr>
        <a:xfrm>
          <a:off x="95250" y="104774"/>
          <a:ext cx="13411200" cy="409575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800" b="1">
              <a:latin typeface="Century Gothic" panose="020B0502020202020204" pitchFamily="34" charset="0"/>
            </a:rPr>
            <a:t>INFORME</a:t>
          </a:r>
          <a:r>
            <a:rPr lang="es-PE" sz="1800" b="1" baseline="0">
              <a:latin typeface="Century Gothic" panose="020B0502020202020204" pitchFamily="34" charset="0"/>
            </a:rPr>
            <a:t> DE RECURSOS HUMANOS - EMPLEADOS ACTIVOS 2023</a:t>
          </a:r>
          <a:endParaRPr lang="es-PE" sz="18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171450</xdr:colOff>
      <xdr:row>10</xdr:row>
      <xdr:rowOff>1</xdr:rowOff>
    </xdr:from>
    <xdr:to>
      <xdr:col>3</xdr:col>
      <xdr:colOff>66675</xdr:colOff>
      <xdr:row>12</xdr:row>
      <xdr:rowOff>171451</xdr:rowOff>
    </xdr:to>
    <xdr:sp macro="" textlink="TD_DASH!I23">
      <xdr:nvSpPr>
        <xdr:cNvPr id="8" name="Rectángulo: esquinas redondeadas 7">
          <a:extLst>
            <a:ext uri="{FF2B5EF4-FFF2-40B4-BE49-F238E27FC236}">
              <a16:creationId xmlns:a16="http://schemas.microsoft.com/office/drawing/2014/main" id="{09749B27-3CF8-4C32-A65A-BB3567763AE8}"/>
            </a:ext>
          </a:extLst>
        </xdr:cNvPr>
        <xdr:cNvSpPr/>
      </xdr:nvSpPr>
      <xdr:spPr>
        <a:xfrm>
          <a:off x="1009650" y="2095501"/>
          <a:ext cx="1571625" cy="590550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1D73089-4844-44A5-B20C-750FD525EE4D}" type="TxLink">
            <a:rPr lang="en-US" sz="1600" b="1" i="0" u="none" strike="noStrike">
              <a:solidFill>
                <a:schemeClr val="bg1"/>
              </a:solidFill>
              <a:latin typeface="Arial Black" panose="020B0A04020102020204" pitchFamily="34" charset="0"/>
            </a:rPr>
            <a:pPr algn="ctr"/>
            <a:t>100</a:t>
          </a:fld>
          <a:endParaRPr lang="en-US" sz="12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oneCellAnchor>
    <xdr:from>
      <xdr:col>1</xdr:col>
      <xdr:colOff>247650</xdr:colOff>
      <xdr:row>11</xdr:row>
      <xdr:rowOff>142875</xdr:rowOff>
    </xdr:from>
    <xdr:ext cx="1328825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154B58F-CEB5-456E-E051-32CE6C7AFC09}"/>
            </a:ext>
          </a:extLst>
        </xdr:cNvPr>
        <xdr:cNvSpPr txBox="1"/>
      </xdr:nvSpPr>
      <xdr:spPr>
        <a:xfrm>
          <a:off x="1085850" y="2447925"/>
          <a:ext cx="13288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>
              <a:solidFill>
                <a:schemeClr val="bg1"/>
              </a:solidFill>
            </a:rPr>
            <a:t>TOTAL EMPLEADOS</a:t>
          </a:r>
        </a:p>
      </xdr:txBody>
    </xdr:sp>
    <xdr:clientData/>
  </xdr:oneCellAnchor>
  <xdr:twoCellAnchor>
    <xdr:from>
      <xdr:col>4</xdr:col>
      <xdr:colOff>419100</xdr:colOff>
      <xdr:row>8</xdr:row>
      <xdr:rowOff>104774</xdr:rowOff>
    </xdr:from>
    <xdr:to>
      <xdr:col>9</xdr:col>
      <xdr:colOff>746125</xdr:colOff>
      <xdr:row>23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9B195F-D9DA-4E96-9CB7-DFE40C3ED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419101</xdr:colOff>
      <xdr:row>38</xdr:row>
      <xdr:rowOff>34925</xdr:rowOff>
    </xdr:from>
    <xdr:to>
      <xdr:col>9</xdr:col>
      <xdr:colOff>740833</xdr:colOff>
      <xdr:row>52</xdr:row>
      <xdr:rowOff>111125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2238D12A-7956-455A-BA42-6C94D0C60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419100</xdr:colOff>
      <xdr:row>23</xdr:row>
      <xdr:rowOff>66674</xdr:rowOff>
    </xdr:from>
    <xdr:to>
      <xdr:col>9</xdr:col>
      <xdr:colOff>746125</xdr:colOff>
      <xdr:row>37</xdr:row>
      <xdr:rowOff>168275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4B134E8-63C2-4B5E-BE36-8E13D60C1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828675</xdr:colOff>
      <xdr:row>8</xdr:row>
      <xdr:rowOff>104775</xdr:rowOff>
    </xdr:from>
    <xdr:to>
      <xdr:col>15</xdr:col>
      <xdr:colOff>828675</xdr:colOff>
      <xdr:row>22</xdr:row>
      <xdr:rowOff>200025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22036C11-08D0-4EC1-8F56-6587CC539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828675</xdr:colOff>
      <xdr:row>23</xdr:row>
      <xdr:rowOff>63500</xdr:rowOff>
    </xdr:from>
    <xdr:to>
      <xdr:col>15</xdr:col>
      <xdr:colOff>828675</xdr:colOff>
      <xdr:row>37</xdr:row>
      <xdr:rowOff>177800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4148889-79BB-4312-BD77-7786237AB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812800</xdr:colOff>
      <xdr:row>38</xdr:row>
      <xdr:rowOff>34925</xdr:rowOff>
    </xdr:from>
    <xdr:to>
      <xdr:col>15</xdr:col>
      <xdr:colOff>812800</xdr:colOff>
      <xdr:row>52</xdr:row>
      <xdr:rowOff>111125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7160811F-1D80-46EB-B0FA-C1B830AF6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125525</xdr:colOff>
      <xdr:row>34</xdr:row>
      <xdr:rowOff>20369</xdr:rowOff>
    </xdr:from>
    <xdr:to>
      <xdr:col>4</xdr:col>
      <xdr:colOff>219074</xdr:colOff>
      <xdr:row>51</xdr:row>
      <xdr:rowOff>103977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5B7BD5B7-2B89-4086-8CF5-4D1FDB004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581025</xdr:colOff>
      <xdr:row>3</xdr:row>
      <xdr:rowOff>76199</xdr:rowOff>
    </xdr:from>
    <xdr:to>
      <xdr:col>15</xdr:col>
      <xdr:colOff>666754</xdr:colOff>
      <xdr:row>6</xdr:row>
      <xdr:rowOff>189065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4A3ADD06-EC7D-F9B9-9CAB-35E1503CAE46}"/>
            </a:ext>
          </a:extLst>
        </xdr:cNvPr>
        <xdr:cNvGrpSpPr/>
      </xdr:nvGrpSpPr>
      <xdr:grpSpPr>
        <a:xfrm>
          <a:off x="3946525" y="695324"/>
          <a:ext cx="9340854" cy="731991"/>
          <a:chOff x="2552700" y="847724"/>
          <a:chExt cx="9305880" cy="741516"/>
        </a:xfrm>
      </xdr:grpSpPr>
      <xdr:sp macro="" textlink="TD_DASH!K14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C4821707-E4B3-4274-B513-6E060D897CE9}"/>
              </a:ext>
            </a:extLst>
          </xdr:cNvPr>
          <xdr:cNvSpPr/>
        </xdr:nvSpPr>
        <xdr:spPr>
          <a:xfrm>
            <a:off x="4857750" y="847724"/>
            <a:ext cx="2276475" cy="714375"/>
          </a:xfrm>
          <a:prstGeom prst="roundRect">
            <a:avLst/>
          </a:prstGeom>
          <a:solidFill>
            <a:schemeClr val="accent5">
              <a:lumMod val="75000"/>
            </a:schemeClr>
          </a:solidFill>
          <a:ln>
            <a:solidFill>
              <a:srgbClr val="42726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33A4339-F455-4CDF-B16E-0D24F98BA9BB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46</a:t>
            </a:fld>
            <a:endParaRPr lang="es-PE" sz="2400" b="1">
              <a:solidFill>
                <a:schemeClr val="bg1"/>
              </a:solidFill>
            </a:endParaRPr>
          </a:p>
        </xdr:txBody>
      </xdr:sp>
      <xdr:sp macro="" textlink="TD_DASH!K13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174C04FD-7F0D-49A0-BFD3-D8B7241C0303}"/>
              </a:ext>
            </a:extLst>
          </xdr:cNvPr>
          <xdr:cNvSpPr/>
        </xdr:nvSpPr>
        <xdr:spPr>
          <a:xfrm>
            <a:off x="2552700" y="847725"/>
            <a:ext cx="2095500" cy="685800"/>
          </a:xfrm>
          <a:prstGeom prst="roundRect">
            <a:avLst/>
          </a:prstGeom>
          <a:solidFill>
            <a:schemeClr val="accent5">
              <a:lumMod val="75000"/>
            </a:schemeClr>
          </a:solidFill>
          <a:ln>
            <a:solidFill>
              <a:srgbClr val="42726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8742431-34E7-40D0-AA86-192102CE43D8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54</a:t>
            </a:fld>
            <a:endParaRPr lang="es-PE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94B9DD5B-7C26-48B2-B87A-F219A41CF938}"/>
              </a:ext>
            </a:extLst>
          </xdr:cNvPr>
          <xdr:cNvSpPr txBox="1"/>
        </xdr:nvSpPr>
        <xdr:spPr>
          <a:xfrm>
            <a:off x="6150491" y="902459"/>
            <a:ext cx="1018543" cy="559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s-PE" sz="1000" b="1">
                <a:solidFill>
                  <a:schemeClr val="bg1"/>
                </a:solidFill>
              </a:rPr>
              <a:t>TOTAL EMPLEADOS NO ACTIVOS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8161B921-4E28-4CC5-8B76-4AE8A7B87651}"/>
              </a:ext>
            </a:extLst>
          </xdr:cNvPr>
          <xdr:cNvSpPr txBox="1"/>
        </xdr:nvSpPr>
        <xdr:spPr>
          <a:xfrm>
            <a:off x="3710233" y="891965"/>
            <a:ext cx="986714" cy="559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s-PE" sz="1000" b="1">
                <a:solidFill>
                  <a:schemeClr val="bg1"/>
                </a:solidFill>
              </a:rPr>
              <a:t>TOTAL EMPLEADOS ACTIVOS</a:t>
            </a:r>
          </a:p>
        </xdr:txBody>
      </xdr:sp>
      <xdr:sp macro="" textlink="TD_DASH!K19">
        <xdr:nvSpPr>
          <xdr:cNvPr id="34" name="Rectángulo: esquinas diagonales redondeadas 33">
            <a:extLst>
              <a:ext uri="{FF2B5EF4-FFF2-40B4-BE49-F238E27FC236}">
                <a16:creationId xmlns:a16="http://schemas.microsoft.com/office/drawing/2014/main" id="{EA361741-5563-1556-1672-0B326D517A82}"/>
              </a:ext>
            </a:extLst>
          </xdr:cNvPr>
          <xdr:cNvSpPr/>
        </xdr:nvSpPr>
        <xdr:spPr>
          <a:xfrm>
            <a:off x="7343776" y="847725"/>
            <a:ext cx="2124074" cy="714375"/>
          </a:xfrm>
          <a:prstGeom prst="round2DiagRect">
            <a:avLst/>
          </a:prstGeom>
          <a:solidFill>
            <a:schemeClr val="accent5">
              <a:lumMod val="75000"/>
            </a:schemeClr>
          </a:solidFill>
          <a:ln>
            <a:solidFill>
              <a:srgbClr val="42726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fld id="{38B44A8A-E34C-43A4-A5CA-96DEFE8D445E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r"/>
              <a:t>2138.50</a:t>
            </a:fld>
            <a:endParaRPr lang="es-PE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2A2EF59D-CD8D-EEC3-B543-91326575FC2C}"/>
              </a:ext>
            </a:extLst>
          </xdr:cNvPr>
          <xdr:cNvSpPr txBox="1"/>
        </xdr:nvSpPr>
        <xdr:spPr>
          <a:xfrm>
            <a:off x="7334249" y="1323975"/>
            <a:ext cx="2181226" cy="2652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PE" sz="1100" b="1">
                <a:solidFill>
                  <a:schemeClr val="bg1"/>
                </a:solidFill>
              </a:rPr>
              <a:t>SUELDO PROMEDIO EN</a:t>
            </a:r>
            <a:r>
              <a:rPr lang="es-PE" sz="1100" b="1" baseline="0">
                <a:solidFill>
                  <a:schemeClr val="bg1"/>
                </a:solidFill>
              </a:rPr>
              <a:t> SOLES</a:t>
            </a:r>
            <a:endParaRPr lang="es-PE" sz="1100" b="1">
              <a:solidFill>
                <a:schemeClr val="bg1"/>
              </a:solidFill>
            </a:endParaRPr>
          </a:p>
        </xdr:txBody>
      </xdr:sp>
      <xdr:pic>
        <xdr:nvPicPr>
          <xdr:cNvPr id="33" name="Gráfico 32" descr="Monedas contorno">
            <a:extLst>
              <a:ext uri="{FF2B5EF4-FFF2-40B4-BE49-F238E27FC236}">
                <a16:creationId xmlns:a16="http://schemas.microsoft.com/office/drawing/2014/main" id="{73C25B77-20C5-8DC5-E638-C95468C28C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7422753" y="885825"/>
            <a:ext cx="542925" cy="542925"/>
          </a:xfrm>
          <a:prstGeom prst="rect">
            <a:avLst/>
          </a:prstGeom>
        </xdr:spPr>
      </xdr:pic>
      <xdr:sp macro="" textlink="TD_DASH!K22">
        <xdr:nvSpPr>
          <xdr:cNvPr id="38" name="Rectángulo: esquinas diagonales redondeadas 37">
            <a:extLst>
              <a:ext uri="{FF2B5EF4-FFF2-40B4-BE49-F238E27FC236}">
                <a16:creationId xmlns:a16="http://schemas.microsoft.com/office/drawing/2014/main" id="{51CF95A8-6D16-FA43-59AF-906BF5C767D0}"/>
              </a:ext>
            </a:extLst>
          </xdr:cNvPr>
          <xdr:cNvSpPr/>
        </xdr:nvSpPr>
        <xdr:spPr>
          <a:xfrm>
            <a:off x="9677400" y="866776"/>
            <a:ext cx="2105025" cy="685800"/>
          </a:xfrm>
          <a:prstGeom prst="round2DiagRect">
            <a:avLst/>
          </a:prstGeom>
          <a:solidFill>
            <a:schemeClr val="accent5">
              <a:lumMod val="75000"/>
            </a:schemeClr>
          </a:solidFill>
          <a:ln>
            <a:solidFill>
              <a:srgbClr val="42726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F9FEC5D-3591-4EF7-AA5F-9D1542801740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37</a:t>
            </a:fld>
            <a:endParaRPr lang="es-PE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C5ADC88A-32C0-1701-9199-BA2D7A606CE8}"/>
              </a:ext>
            </a:extLst>
          </xdr:cNvPr>
          <xdr:cNvSpPr txBox="1"/>
        </xdr:nvSpPr>
        <xdr:spPr>
          <a:xfrm>
            <a:off x="10829426" y="956704"/>
            <a:ext cx="1029154" cy="559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s-PE" sz="1000" b="1">
                <a:solidFill>
                  <a:schemeClr val="bg1"/>
                </a:solidFill>
              </a:rPr>
              <a:t>EDAD PROMEDIO  EN AÑOS</a:t>
            </a:r>
          </a:p>
        </xdr:txBody>
      </xdr:sp>
    </xdr:grpSp>
    <xdr:clientData/>
  </xdr:twoCellAnchor>
  <xdr:twoCellAnchor editAs="oneCell">
    <xdr:from>
      <xdr:col>13</xdr:col>
      <xdr:colOff>342901</xdr:colOff>
      <xdr:row>3</xdr:row>
      <xdr:rowOff>162983</xdr:rowOff>
    </xdr:from>
    <xdr:to>
      <xdr:col>14</xdr:col>
      <xdr:colOff>84667</xdr:colOff>
      <xdr:row>6</xdr:row>
      <xdr:rowOff>105833</xdr:rowOff>
    </xdr:to>
    <xdr:pic>
      <xdr:nvPicPr>
        <xdr:cNvPr id="48" name="Gráfico 47" descr="Hombre trabajador de la construcción contorno">
          <a:extLst>
            <a:ext uri="{FF2B5EF4-FFF2-40B4-BE49-F238E27FC236}">
              <a16:creationId xmlns:a16="http://schemas.microsoft.com/office/drawing/2014/main" id="{5BC01A78-B801-9DB1-0491-B7D43D37E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211984" y="797983"/>
          <a:ext cx="577850" cy="577850"/>
        </a:xfrm>
        <a:prstGeom prst="rect">
          <a:avLst/>
        </a:prstGeom>
      </xdr:spPr>
    </xdr:pic>
    <xdr:clientData/>
  </xdr:twoCellAnchor>
  <xdr:twoCellAnchor editAs="oneCell">
    <xdr:from>
      <xdr:col>4</xdr:col>
      <xdr:colOff>719668</xdr:colOff>
      <xdr:row>3</xdr:row>
      <xdr:rowOff>88899</xdr:rowOff>
    </xdr:from>
    <xdr:to>
      <xdr:col>5</xdr:col>
      <xdr:colOff>518583</xdr:colOff>
      <xdr:row>6</xdr:row>
      <xdr:rowOff>88898</xdr:rowOff>
    </xdr:to>
    <xdr:pic>
      <xdr:nvPicPr>
        <xdr:cNvPr id="50" name="Gráfico 49" descr="Maletín con relleno sólido">
          <a:extLst>
            <a:ext uri="{FF2B5EF4-FFF2-40B4-BE49-F238E27FC236}">
              <a16:creationId xmlns:a16="http://schemas.microsoft.com/office/drawing/2014/main" id="{48D6A5CA-67CE-F2A9-7B86-E3B51F34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064001" y="723899"/>
          <a:ext cx="634999" cy="634999"/>
        </a:xfrm>
        <a:prstGeom prst="rect">
          <a:avLst/>
        </a:prstGeom>
      </xdr:spPr>
    </xdr:pic>
    <xdr:clientData/>
  </xdr:twoCellAnchor>
  <xdr:twoCellAnchor editAs="oneCell">
    <xdr:from>
      <xdr:col>7</xdr:col>
      <xdr:colOff>550333</xdr:colOff>
      <xdr:row>3</xdr:row>
      <xdr:rowOff>116415</xdr:rowOff>
    </xdr:from>
    <xdr:to>
      <xdr:col>8</xdr:col>
      <xdr:colOff>338666</xdr:colOff>
      <xdr:row>6</xdr:row>
      <xdr:rowOff>105832</xdr:rowOff>
    </xdr:to>
    <xdr:pic>
      <xdr:nvPicPr>
        <xdr:cNvPr id="52" name="Gráfico 51" descr="Señal de negación con relleno sólido">
          <a:extLst>
            <a:ext uri="{FF2B5EF4-FFF2-40B4-BE49-F238E27FC236}">
              <a16:creationId xmlns:a16="http://schemas.microsoft.com/office/drawing/2014/main" id="{A69F9A58-223C-1FD2-DC60-3C511113C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402916" y="751415"/>
          <a:ext cx="624417" cy="62441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13</xdr:row>
      <xdr:rowOff>85724</xdr:rowOff>
    </xdr:from>
    <xdr:to>
      <xdr:col>2</xdr:col>
      <xdr:colOff>381000</xdr:colOff>
      <xdr:row>30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3" name="DISTRITO">
              <a:extLst>
                <a:ext uri="{FF2B5EF4-FFF2-40B4-BE49-F238E27FC236}">
                  <a16:creationId xmlns:a16="http://schemas.microsoft.com/office/drawing/2014/main" id="{0F269B77-B0EB-4981-8385-FDFBC03175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2809874"/>
              <a:ext cx="1828800" cy="3552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046.685605787039" createdVersion="8" refreshedVersion="8" minRefreshableVersion="3" recordCount="100" xr:uid="{EC3947EE-F7CA-439C-AABE-62A1AEB18347}">
  <cacheSource type="worksheet">
    <worksheetSource name="bd"/>
  </cacheSource>
  <cacheFields count="13">
    <cacheField name="NOMBRE" numFmtId="0">
      <sharedItems/>
    </cacheField>
    <cacheField name="ESTADO CIVIL" numFmtId="0">
      <sharedItems/>
    </cacheField>
    <cacheField name="FECHA DE NACIMIENTO" numFmtId="14">
      <sharedItems containsSemiMixedTypes="0" containsNonDate="0" containsDate="1" containsString="0" minDate="1972-03-24T00:00:00" maxDate="1998-11-07T00:00:00"/>
    </cacheField>
    <cacheField name="EDAD" numFmtId="0">
      <sharedItems containsSemiMixedTypes="0" containsString="0" containsNumber="1" containsInteger="1" minValue="24" maxValue="51" count="28">
        <n v="31"/>
        <n v="46"/>
        <n v="26"/>
        <n v="28"/>
        <n v="30"/>
        <n v="25"/>
        <n v="49"/>
        <n v="41"/>
        <n v="36"/>
        <n v="47"/>
        <n v="29"/>
        <n v="34"/>
        <n v="42"/>
        <n v="38"/>
        <n v="37"/>
        <n v="27"/>
        <n v="44"/>
        <n v="45"/>
        <n v="35"/>
        <n v="39"/>
        <n v="24"/>
        <n v="43"/>
        <n v="48"/>
        <n v="51"/>
        <n v="33"/>
        <n v="40"/>
        <n v="50"/>
        <n v="32"/>
      </sharedItems>
      <fieldGroup base="3">
        <rangePr autoStart="0" autoEnd="0" startNum="21" endNum="50" groupInterval="5"/>
        <groupItems count="8">
          <s v="&lt;21"/>
          <s v="21-25"/>
          <s v="26-30"/>
          <s v="31-35"/>
          <s v="36-40"/>
          <s v="41-45"/>
          <s v="46-50"/>
          <s v="&gt;51"/>
        </groupItems>
      </fieldGroup>
    </cacheField>
    <cacheField name="DISTRITO" numFmtId="0">
      <sharedItems count="10">
        <s v="La Molina"/>
        <s v="Lince"/>
        <s v="Jesús María"/>
        <s v="Miraflores"/>
        <s v="Comas"/>
        <s v="La Victoria"/>
        <s v="San Borja"/>
        <s v="Los Olivos"/>
        <s v="Santa Anita"/>
        <s v="San Juan de Lurigancho"/>
      </sharedItems>
    </cacheField>
    <cacheField name="TIPO DE EMPLEADO" numFmtId="0">
      <sharedItems count="3">
        <s v="Contratado"/>
        <s v="Temporal"/>
        <s v="Nombrado"/>
      </sharedItems>
    </cacheField>
    <cacheField name="CARGO" numFmtId="0">
      <sharedItems count="3">
        <s v="Ventas"/>
        <s v="Administrativo"/>
        <s v="Planta"/>
      </sharedItems>
    </cacheField>
    <cacheField name="SUELDO" numFmtId="164">
      <sharedItems containsSemiMixedTypes="0" containsString="0" containsNumber="1" containsInteger="1" minValue="1775" maxValue="2575"/>
    </cacheField>
    <cacheField name="HORA DE INGRESO" numFmtId="165">
      <sharedItems containsSemiMixedTypes="0" containsNonDate="0" containsDate="1" containsString="0" minDate="1899-12-30T07:00:06" maxDate="1899-12-30T07:59:45"/>
    </cacheField>
    <cacheField name="HORA DE SALIDA" numFmtId="165">
      <sharedItems containsSemiMixedTypes="0" containsNonDate="0" containsDate="1" containsString="0" minDate="1899-12-30T17:01:34" maxDate="1899-12-30T19:29:55"/>
    </cacheField>
    <cacheField name="VENTAS MENSUALES" numFmtId="164">
      <sharedItems containsSemiMixedTypes="0" containsString="0" containsNumber="1" containsInteger="1" minValue="0" maxValue="24978"/>
    </cacheField>
    <cacheField name="POSITIVO AL COVID 19" numFmtId="0">
      <sharedItems/>
    </cacheField>
    <cacheField name="N° DE DÍAS CON LOS SÍNTOMAS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 pivotCacheId="5635043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060.276222685185" createdVersion="8" refreshedVersion="8" minRefreshableVersion="3" recordCount="100" xr:uid="{66ABC83B-B71E-4FFF-8594-CD505ADA5F76}">
  <cacheSource type="worksheet">
    <worksheetSource name="_bd"/>
  </cacheSource>
  <cacheFields count="17">
    <cacheField name="NOMBRE" numFmtId="0">
      <sharedItems/>
    </cacheField>
    <cacheField name="ESTADO CIVIL" numFmtId="0">
      <sharedItems/>
    </cacheField>
    <cacheField name="FECHA DE NACIMIENTO" numFmtId="14">
      <sharedItems containsSemiMixedTypes="0" containsNonDate="0" containsDate="1" containsString="0" minDate="1972-03-24T00:00:00" maxDate="1998-11-07T00:00:00"/>
    </cacheField>
    <cacheField name="EDAD" numFmtId="0">
      <sharedItems containsSemiMixedTypes="0" containsString="0" containsNumber="1" containsInteger="1" minValue="24" maxValue="51"/>
    </cacheField>
    <cacheField name="DISTRITO" numFmtId="0">
      <sharedItems count="10">
        <s v="La Molina"/>
        <s v="Lince"/>
        <s v="Jesús María"/>
        <s v="Miraflores"/>
        <s v="Comas"/>
        <s v="La Victoria"/>
        <s v="San Borja"/>
        <s v="Los Olivos"/>
        <s v="Santa Anita"/>
        <s v="San Juan de Lurigancho"/>
      </sharedItems>
    </cacheField>
    <cacheField name="TIPO DE EMPLEADO" numFmtId="0">
      <sharedItems count="3">
        <s v="Contratado"/>
        <s v="Temporal"/>
        <s v="Nombrado"/>
      </sharedItems>
    </cacheField>
    <cacheField name="CARGO" numFmtId="0">
      <sharedItems count="3">
        <s v="Ventas"/>
        <s v="Administrativo"/>
        <s v="Planta"/>
      </sharedItems>
    </cacheField>
    <cacheField name="SUELDO" numFmtId="164">
      <sharedItems containsSemiMixedTypes="0" containsString="0" containsNumber="1" containsInteger="1" minValue="1775" maxValue="2575"/>
    </cacheField>
    <cacheField name="HORA DE INGRESO" numFmtId="165">
      <sharedItems containsSemiMixedTypes="0" containsNonDate="0" containsDate="1" containsString="0" minDate="1899-12-30T07:00:06" maxDate="1899-12-30T07:59:45"/>
    </cacheField>
    <cacheField name="HORA DE SALIDA" numFmtId="165">
      <sharedItems containsSemiMixedTypes="0" containsNonDate="0" containsDate="1" containsString="0" minDate="1899-12-30T17:01:34" maxDate="1899-12-30T19:29:55"/>
    </cacheField>
    <cacheField name="VENTAS MENSUALES" numFmtId="164">
      <sharedItems containsSemiMixedTypes="0" containsString="0" containsNumber="1" containsInteger="1" minValue="0" maxValue="24978"/>
    </cacheField>
    <cacheField name="POSITIVO AL COVID 19" numFmtId="0">
      <sharedItems count="2">
        <s v="SI"/>
        <s v="NO"/>
      </sharedItems>
    </cacheField>
    <cacheField name="N° DE DÍAS CON LOS SÍNTOMAS" numFmtId="0">
      <sharedItems containsSemiMixedTypes="0" containsString="0" containsNumber="1" containsInteger="1" minValue="0" maxValue="15"/>
    </cacheField>
    <cacheField name="CORREO CORPORATIVO" numFmtId="0">
      <sharedItems/>
    </cacheField>
    <cacheField name="CATEGORÍA VENTAS" numFmtId="0">
      <sharedItems count="6">
        <s v="EXCELENTE"/>
        <s v=" --"/>
        <s v="BUENO"/>
        <s v="MUY MALO"/>
        <s v="REGULAR"/>
        <s v="MALO"/>
      </sharedItems>
    </cacheField>
    <cacheField name="SUELDO O VENTAS MAYOR AL PROMEDIO" numFmtId="0">
      <sharedItems/>
    </cacheField>
    <cacheField name="AISLAMIENTO OBLIGATORIO" numFmtId="0">
      <sharedItems/>
    </cacheField>
  </cacheFields>
  <extLst>
    <ext xmlns:x14="http://schemas.microsoft.com/office/spreadsheetml/2009/9/main" uri="{725AE2AE-9491-48be-B2B4-4EB974FC3084}">
      <x14:pivotCacheDefinition pivotCacheId="17841347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INGA GUZMAN WILMA ISABEL"/>
    <s v="Soltero"/>
    <d v="1991-06-02T00:00:00"/>
    <x v="0"/>
    <x v="0"/>
    <x v="0"/>
    <x v="0"/>
    <n v="2025"/>
    <d v="1899-12-30T07:54:10"/>
    <d v="1899-12-30T19:10:10"/>
    <n v="24184"/>
    <s v="SI"/>
    <n v="12"/>
  </r>
  <r>
    <s v="PANDURO GUERRERO PABLO SEGUNDO"/>
    <s v="Conviviente"/>
    <d v="1977-03-12T00:00:00"/>
    <x v="1"/>
    <x v="1"/>
    <x v="0"/>
    <x v="1"/>
    <n v="2375"/>
    <d v="1899-12-30T07:10:43"/>
    <d v="1899-12-30T18:22:10"/>
    <n v="0"/>
    <s v="NO"/>
    <n v="0"/>
  </r>
  <r>
    <s v="LOPEZ CORDOVA BISELTY"/>
    <s v="Casado"/>
    <d v="1996-09-02T00:00:00"/>
    <x v="2"/>
    <x v="0"/>
    <x v="1"/>
    <x v="0"/>
    <n v="1825"/>
    <d v="1899-12-30T07:08:23"/>
    <d v="1899-12-30T17:55:34"/>
    <n v="24350"/>
    <s v="NO"/>
    <n v="0"/>
  </r>
  <r>
    <s v="RIOS PAIMA GILBERTO"/>
    <s v="Conviviente"/>
    <d v="1995-04-03T00:00:00"/>
    <x v="3"/>
    <x v="2"/>
    <x v="2"/>
    <x v="1"/>
    <n v="2575"/>
    <d v="1899-12-30T07:33:23"/>
    <d v="1899-12-30T19:20:24"/>
    <n v="0"/>
    <s v="NO"/>
    <n v="0"/>
  </r>
  <r>
    <s v="MENDOZA AREVALO BETHY"/>
    <s v="Soltero"/>
    <d v="1993-03-14T00:00:00"/>
    <x v="4"/>
    <x v="3"/>
    <x v="2"/>
    <x v="2"/>
    <n v="2175"/>
    <d v="1899-12-30T07:55:51"/>
    <d v="1899-12-30T19:03:21"/>
    <n v="0"/>
    <s v="NO"/>
    <n v="0"/>
  </r>
  <r>
    <s v="VASQUEZ PAREDES JUDITH"/>
    <s v="Casado"/>
    <d v="1998-04-05T00:00:00"/>
    <x v="5"/>
    <x v="4"/>
    <x v="1"/>
    <x v="2"/>
    <n v="1775"/>
    <d v="1899-12-30T07:21:28"/>
    <d v="1899-12-30T18:51:52"/>
    <n v="0"/>
    <s v="NO"/>
    <n v="0"/>
  </r>
  <r>
    <s v="AREVALO GONZALEZ BETTY LUZ"/>
    <s v="Casado"/>
    <d v="1973-12-08T00:00:00"/>
    <x v="6"/>
    <x v="5"/>
    <x v="0"/>
    <x v="1"/>
    <n v="2375"/>
    <d v="1899-12-30T07:35:28"/>
    <d v="1899-12-30T19:19:45"/>
    <n v="0"/>
    <s v="NO"/>
    <n v="0"/>
  </r>
  <r>
    <s v="SANTILLAN BARDALES ROSA OMARITA"/>
    <s v="Conviviente"/>
    <d v="1981-12-31T00:00:00"/>
    <x v="7"/>
    <x v="2"/>
    <x v="2"/>
    <x v="1"/>
    <n v="2575"/>
    <d v="1899-12-30T07:09:42"/>
    <d v="1899-12-30T18:09:26"/>
    <n v="0"/>
    <s v="SI"/>
    <n v="6"/>
  </r>
  <r>
    <s v="SHUÑA HUANIO RAUL"/>
    <s v="Casado"/>
    <d v="1986-11-27T00:00:00"/>
    <x v="8"/>
    <x v="4"/>
    <x v="1"/>
    <x v="2"/>
    <n v="1775"/>
    <d v="1899-12-30T07:44:09"/>
    <d v="1899-12-30T18:06:28"/>
    <n v="0"/>
    <s v="NO"/>
    <n v="0"/>
  </r>
  <r>
    <s v="CHAVEZ TARAZONA MARGARITA MARIVEL"/>
    <s v="Soltero"/>
    <d v="1976-03-22T00:00:00"/>
    <x v="9"/>
    <x v="6"/>
    <x v="1"/>
    <x v="1"/>
    <n v="2175"/>
    <d v="1899-12-30T07:34:02"/>
    <d v="1899-12-30T19:18:55"/>
    <n v="0"/>
    <s v="SI"/>
    <n v="1"/>
  </r>
  <r>
    <s v="SINTI CANAYO CLARA LUZ"/>
    <s v="Conviviente"/>
    <d v="1994-03-01T00:00:00"/>
    <x v="10"/>
    <x v="4"/>
    <x v="2"/>
    <x v="0"/>
    <n v="2225"/>
    <d v="1899-12-30T07:32:52"/>
    <d v="1899-12-30T17:41:04"/>
    <n v="20460"/>
    <s v="SI"/>
    <n v="12"/>
  </r>
  <r>
    <s v="PACAYA VARGAS MILENA"/>
    <s v="Conviviente"/>
    <d v="1988-05-15T00:00:00"/>
    <x v="11"/>
    <x v="4"/>
    <x v="1"/>
    <x v="1"/>
    <n v="2175"/>
    <d v="1899-12-30T07:54:51"/>
    <d v="1899-12-30T17:32:24"/>
    <n v="0"/>
    <s v="NO"/>
    <n v="0"/>
  </r>
  <r>
    <s v="ARRIAGA VALLES LOIDA ZARELA"/>
    <s v="Soltero"/>
    <d v="1980-07-28T00:00:00"/>
    <x v="12"/>
    <x v="7"/>
    <x v="2"/>
    <x v="1"/>
    <n v="2575"/>
    <d v="1899-12-30T07:14:46"/>
    <d v="1899-12-30T19:18:08"/>
    <n v="0"/>
    <s v="SI"/>
    <n v="1"/>
  </r>
  <r>
    <s v="PAREDES GRANDEZ GONERSON"/>
    <s v="Casado"/>
    <d v="1992-10-09T00:00:00"/>
    <x v="4"/>
    <x v="7"/>
    <x v="0"/>
    <x v="0"/>
    <n v="2025"/>
    <d v="1899-12-30T07:38:48"/>
    <d v="1899-12-30T18:37:14"/>
    <n v="22410"/>
    <s v="NO"/>
    <n v="0"/>
  </r>
  <r>
    <s v="RENGIFO ROJAS MARIA ELENA"/>
    <s v="Casado"/>
    <d v="1998-01-18T00:00:00"/>
    <x v="5"/>
    <x v="4"/>
    <x v="1"/>
    <x v="1"/>
    <n v="2175"/>
    <d v="1899-12-30T07:11:24"/>
    <d v="1899-12-30T18:01:47"/>
    <n v="0"/>
    <s v="SI"/>
    <n v="11"/>
  </r>
  <r>
    <s v="VILCHEZ CARDENAS PEDRO ARMANDO"/>
    <s v="Conviviente"/>
    <d v="1992-09-03T00:00:00"/>
    <x v="4"/>
    <x v="7"/>
    <x v="2"/>
    <x v="2"/>
    <n v="2175"/>
    <d v="1899-12-30T07:46:55"/>
    <d v="1899-12-30T18:49:06"/>
    <n v="0"/>
    <s v="SI"/>
    <n v="12"/>
  </r>
  <r>
    <s v="OÑATE PORTOCARRERO MEYER"/>
    <s v="Soltero"/>
    <d v="1984-11-24T00:00:00"/>
    <x v="13"/>
    <x v="7"/>
    <x v="1"/>
    <x v="2"/>
    <n v="1775"/>
    <d v="1899-12-30T07:59:45"/>
    <d v="1899-12-30T19:27:38"/>
    <n v="0"/>
    <s v="NO"/>
    <n v="0"/>
  </r>
  <r>
    <s v="GARCIA SANGAMA PEVIG"/>
    <s v="Conviviente"/>
    <d v="1986-02-20T00:00:00"/>
    <x v="14"/>
    <x v="6"/>
    <x v="2"/>
    <x v="2"/>
    <n v="2175"/>
    <d v="1899-12-30T07:22:23"/>
    <d v="1899-12-30T18:54:30"/>
    <n v="0"/>
    <s v="SI"/>
    <n v="6"/>
  </r>
  <r>
    <s v="PEREZ ZAPATA LUZ ESTEFANIA"/>
    <s v="Casado"/>
    <d v="1995-09-01T00:00:00"/>
    <x v="15"/>
    <x v="8"/>
    <x v="2"/>
    <x v="0"/>
    <n v="2225"/>
    <d v="1899-12-30T07:42:39"/>
    <d v="1899-12-30T18:13:29"/>
    <n v="10098"/>
    <s v="SI"/>
    <n v="12"/>
  </r>
  <r>
    <s v="RIOS DAVILA MARILYN"/>
    <s v="Conviviente"/>
    <d v="1978-07-17T00:00:00"/>
    <x v="16"/>
    <x v="7"/>
    <x v="2"/>
    <x v="2"/>
    <n v="2175"/>
    <d v="1899-12-30T07:43:38"/>
    <d v="1899-12-30T19:22:12"/>
    <n v="0"/>
    <s v="SI"/>
    <n v="15"/>
  </r>
  <r>
    <s v="FLORES PEREZ PEDRO ANTONIO"/>
    <s v="Conviviente"/>
    <d v="1995-12-15T00:00:00"/>
    <x v="15"/>
    <x v="1"/>
    <x v="0"/>
    <x v="2"/>
    <n v="1975"/>
    <d v="1899-12-30T07:42:00"/>
    <d v="1899-12-30T17:30:01"/>
    <n v="0"/>
    <s v="NO"/>
    <n v="0"/>
  </r>
  <r>
    <s v="PINEDO RUIZ TIBURCIO"/>
    <s v="Casado"/>
    <d v="1977-10-21T00:00:00"/>
    <x v="17"/>
    <x v="7"/>
    <x v="1"/>
    <x v="2"/>
    <n v="1775"/>
    <d v="1899-12-30T07:34:31"/>
    <d v="1899-12-30T17:26:57"/>
    <n v="0"/>
    <s v="SI"/>
    <n v="14"/>
  </r>
  <r>
    <s v="VILLEGAS RUIZ ROCIO"/>
    <s v="Casado"/>
    <d v="1994-05-23T00:00:00"/>
    <x v="3"/>
    <x v="1"/>
    <x v="1"/>
    <x v="2"/>
    <n v="1775"/>
    <d v="1899-12-30T07:51:00"/>
    <d v="1899-12-30T19:03:38"/>
    <n v="0"/>
    <s v="NO"/>
    <n v="0"/>
  </r>
  <r>
    <s v="PEREZ MONTES MARCIAL"/>
    <s v="Casado"/>
    <d v="1985-09-20T00:00:00"/>
    <x v="14"/>
    <x v="1"/>
    <x v="0"/>
    <x v="0"/>
    <n v="2025"/>
    <d v="1899-12-30T07:56:15"/>
    <d v="1899-12-30T17:34:09"/>
    <n v="23811"/>
    <s v="SI"/>
    <n v="11"/>
  </r>
  <r>
    <s v="SIU GOMEZ JENNY"/>
    <s v="Conviviente"/>
    <d v="1987-10-01T00:00:00"/>
    <x v="18"/>
    <x v="9"/>
    <x v="1"/>
    <x v="2"/>
    <n v="1775"/>
    <d v="1899-12-30T07:27:24"/>
    <d v="1899-12-30T18:26:04"/>
    <n v="0"/>
    <s v="SI"/>
    <n v="2"/>
  </r>
  <r>
    <s v="NUVE SHUPINGAHUA EDMUNDO"/>
    <s v="Casado"/>
    <d v="1976-06-06T00:00:00"/>
    <x v="1"/>
    <x v="5"/>
    <x v="2"/>
    <x v="0"/>
    <n v="2225"/>
    <d v="1899-12-30T07:49:12"/>
    <d v="1899-12-30T17:35:10"/>
    <n v="10387"/>
    <s v="NO"/>
    <n v="0"/>
  </r>
  <r>
    <s v="SOUZA SALDAÑA VICTOR RAUL"/>
    <s v="Casado"/>
    <d v="1977-09-27T00:00:00"/>
    <x v="17"/>
    <x v="8"/>
    <x v="2"/>
    <x v="1"/>
    <n v="2575"/>
    <d v="1899-12-30T07:37:40"/>
    <d v="1899-12-30T18:57:59"/>
    <n v="0"/>
    <s v="NO"/>
    <n v="0"/>
  </r>
  <r>
    <s v="OBERLUIS MUSAC CARMEN SONIA"/>
    <s v="Conviviente"/>
    <d v="1996-01-19T00:00:00"/>
    <x v="15"/>
    <x v="7"/>
    <x v="2"/>
    <x v="0"/>
    <n v="2225"/>
    <d v="1899-12-30T07:49:57"/>
    <d v="1899-12-30T19:06:12"/>
    <n v="16924"/>
    <s v="NO"/>
    <n v="0"/>
  </r>
  <r>
    <s v="RODRIGUEZ SILVANO JAIME"/>
    <s v="Casado"/>
    <d v="1986-05-03T00:00:00"/>
    <x v="8"/>
    <x v="7"/>
    <x v="2"/>
    <x v="2"/>
    <n v="2175"/>
    <d v="1899-12-30T07:23:36"/>
    <d v="1899-12-30T17:37:13"/>
    <n v="0"/>
    <s v="SI"/>
    <n v="2"/>
  </r>
  <r>
    <s v="DEL AGUILA SILVA YRMA PETRONILA"/>
    <s v="Conviviente"/>
    <d v="1977-07-04T00:00:00"/>
    <x v="17"/>
    <x v="2"/>
    <x v="0"/>
    <x v="1"/>
    <n v="2375"/>
    <d v="1899-12-30T07:47:24"/>
    <d v="1899-12-30T18:51:22"/>
    <n v="0"/>
    <s v="SI"/>
    <n v="8"/>
  </r>
  <r>
    <s v="CACERES PAREDES TEDDY"/>
    <s v="Casado"/>
    <d v="1993-05-25T00:00:00"/>
    <x v="10"/>
    <x v="2"/>
    <x v="2"/>
    <x v="0"/>
    <n v="2225"/>
    <d v="1899-12-30T07:12:25"/>
    <d v="1899-12-30T17:23:09"/>
    <n v="22733"/>
    <s v="SI"/>
    <n v="13"/>
  </r>
  <r>
    <s v="RIOS VELA ALVARO"/>
    <s v="Casado"/>
    <d v="1985-06-01T00:00:00"/>
    <x v="14"/>
    <x v="5"/>
    <x v="0"/>
    <x v="0"/>
    <n v="2025"/>
    <d v="1899-12-30T07:06:17"/>
    <d v="1899-12-30T17:40:23"/>
    <n v="15154"/>
    <s v="SI"/>
    <n v="12"/>
  </r>
  <r>
    <s v="CARRASCAL SIFUENTES JUAN CARLOS"/>
    <s v="Soltero"/>
    <d v="1983-07-20T00:00:00"/>
    <x v="19"/>
    <x v="2"/>
    <x v="1"/>
    <x v="1"/>
    <n v="2175"/>
    <d v="1899-12-30T07:07:52"/>
    <d v="1899-12-30T17:03:30"/>
    <n v="0"/>
    <s v="SI"/>
    <n v="6"/>
  </r>
  <r>
    <s v="PERDOMO ANDION DELICIA AZUCENA"/>
    <s v="Soltero"/>
    <d v="1973-08-19T00:00:00"/>
    <x v="6"/>
    <x v="6"/>
    <x v="2"/>
    <x v="0"/>
    <n v="2225"/>
    <d v="1899-12-30T07:43:09"/>
    <d v="1899-12-30T17:42:37"/>
    <n v="20593"/>
    <s v="NO"/>
    <n v="0"/>
  </r>
  <r>
    <s v="LOPEZ NAVARRO DORIS"/>
    <s v="Soltero"/>
    <d v="1998-05-01T00:00:00"/>
    <x v="20"/>
    <x v="6"/>
    <x v="0"/>
    <x v="0"/>
    <n v="2025"/>
    <d v="1899-12-30T07:16:27"/>
    <d v="1899-12-30T18:33:38"/>
    <n v="17178"/>
    <s v="NO"/>
    <n v="0"/>
  </r>
  <r>
    <s v="HUAYUNGA TAMANI ALBERTO"/>
    <s v="Soltero"/>
    <d v="1977-10-02T00:00:00"/>
    <x v="17"/>
    <x v="1"/>
    <x v="1"/>
    <x v="2"/>
    <n v="1775"/>
    <d v="1899-12-30T07:00:37"/>
    <d v="1899-12-30T17:03:53"/>
    <n v="0"/>
    <s v="SI"/>
    <n v="6"/>
  </r>
  <r>
    <s v="AREVALO FLORES LISBETH"/>
    <s v="Casado"/>
    <d v="1986-10-05T00:00:00"/>
    <x v="8"/>
    <x v="5"/>
    <x v="1"/>
    <x v="0"/>
    <n v="1825"/>
    <d v="1899-12-30T07:33:16"/>
    <d v="1899-12-30T17:17:01"/>
    <n v="10686"/>
    <s v="SI"/>
    <n v="1"/>
  </r>
  <r>
    <s v="AREVALO FLORES LISBETH"/>
    <s v="Casado"/>
    <d v="1987-02-28T00:00:00"/>
    <x v="8"/>
    <x v="0"/>
    <x v="1"/>
    <x v="0"/>
    <n v="1825"/>
    <d v="1899-12-30T07:33:27"/>
    <d v="1899-12-30T17:11:10"/>
    <n v="24978"/>
    <s v="SI"/>
    <n v="12"/>
  </r>
  <r>
    <s v="AREVALO FLORES LISBETH"/>
    <s v="Casado"/>
    <d v="1996-05-30T00:00:00"/>
    <x v="2"/>
    <x v="8"/>
    <x v="0"/>
    <x v="0"/>
    <n v="2025"/>
    <d v="1899-12-30T07:11:53"/>
    <d v="1899-12-30T18:20:28"/>
    <n v="21424"/>
    <s v="NO"/>
    <n v="0"/>
  </r>
  <r>
    <s v="NILSSON PEZO JAMES DAN"/>
    <s v="Soltero"/>
    <d v="1983-11-05T00:00:00"/>
    <x v="19"/>
    <x v="5"/>
    <x v="2"/>
    <x v="2"/>
    <n v="2175"/>
    <d v="1899-12-30T07:48:37"/>
    <d v="1899-12-30T17:58:27"/>
    <n v="0"/>
    <s v="NO"/>
    <n v="0"/>
  </r>
  <r>
    <s v="LOPEZ ENCINAS ANGELICA"/>
    <s v="Soltero"/>
    <d v="1973-10-25T00:00:00"/>
    <x v="6"/>
    <x v="2"/>
    <x v="0"/>
    <x v="1"/>
    <n v="2375"/>
    <d v="1899-12-30T07:19:09"/>
    <d v="1899-12-30T17:01:34"/>
    <n v="0"/>
    <s v="NO"/>
    <n v="0"/>
  </r>
  <r>
    <s v="RIOS GONZALES ELOY"/>
    <s v="Casado"/>
    <d v="1986-05-14T00:00:00"/>
    <x v="8"/>
    <x v="2"/>
    <x v="1"/>
    <x v="0"/>
    <n v="1825"/>
    <d v="1899-12-30T07:34:02"/>
    <d v="1899-12-30T17:03:15"/>
    <n v="18546"/>
    <s v="NO"/>
    <n v="0"/>
  </r>
  <r>
    <s v="OCHOA FALCON CLEYDER"/>
    <s v="Conviviente"/>
    <d v="1997-12-26T00:00:00"/>
    <x v="5"/>
    <x v="4"/>
    <x v="2"/>
    <x v="2"/>
    <n v="2175"/>
    <d v="1899-12-30T07:02:27"/>
    <d v="1899-12-30T18:56:52"/>
    <n v="0"/>
    <s v="SI"/>
    <n v="3"/>
  </r>
  <r>
    <s v="SILVA PORTOCARRERO CESAR"/>
    <s v="Conviviente"/>
    <d v="1978-03-07T00:00:00"/>
    <x v="17"/>
    <x v="0"/>
    <x v="2"/>
    <x v="1"/>
    <n v="2575"/>
    <d v="1899-12-30T07:05:00"/>
    <d v="1899-12-30T19:03:05"/>
    <n v="0"/>
    <s v="NO"/>
    <n v="0"/>
  </r>
  <r>
    <s v="SERRUCHE VEGA DOLLY DERMIS"/>
    <s v="Conviviente"/>
    <d v="1979-10-31T00:00:00"/>
    <x v="21"/>
    <x v="9"/>
    <x v="0"/>
    <x v="2"/>
    <n v="1975"/>
    <d v="1899-12-30T07:22:26"/>
    <d v="1899-12-30T18:41:44"/>
    <n v="0"/>
    <s v="NO"/>
    <n v="0"/>
  </r>
  <r>
    <s v="RODRIGUEZ RIOS MERY EMPERATRIZ"/>
    <s v="Soltero"/>
    <d v="1991-05-23T00:00:00"/>
    <x v="0"/>
    <x v="7"/>
    <x v="1"/>
    <x v="0"/>
    <n v="1825"/>
    <d v="1899-12-30T07:59:08"/>
    <d v="1899-12-30T17:07:43"/>
    <n v="16518"/>
    <s v="NO"/>
    <n v="0"/>
  </r>
  <r>
    <s v="TANGOA MURRIETA HAYDEE"/>
    <s v="Soltero"/>
    <d v="1975-04-08T00:00:00"/>
    <x v="22"/>
    <x v="4"/>
    <x v="2"/>
    <x v="2"/>
    <n v="2175"/>
    <d v="1899-12-30T07:29:00"/>
    <d v="1899-12-30T17:49:23"/>
    <n v="0"/>
    <s v="SI"/>
    <n v="5"/>
  </r>
  <r>
    <s v="LOPEZ OCHOA MELITA"/>
    <s v="Casado"/>
    <d v="1972-03-24T00:00:00"/>
    <x v="23"/>
    <x v="7"/>
    <x v="0"/>
    <x v="0"/>
    <n v="2025"/>
    <d v="1899-12-30T07:20:27"/>
    <d v="1899-12-30T18:48:36"/>
    <n v="17691"/>
    <s v="SI"/>
    <n v="11"/>
  </r>
  <r>
    <s v="LOPEZ OCHOA MELITA"/>
    <s v="Casado"/>
    <d v="1998-03-29T00:00:00"/>
    <x v="5"/>
    <x v="5"/>
    <x v="2"/>
    <x v="0"/>
    <n v="2225"/>
    <d v="1899-12-30T07:17:00"/>
    <d v="1899-12-30T19:12:25"/>
    <n v="12279"/>
    <s v="SI"/>
    <n v="15"/>
  </r>
  <r>
    <s v="DIAZ GONZALES DELICIA"/>
    <s v="Soltero"/>
    <d v="1989-07-27T00:00:00"/>
    <x v="24"/>
    <x v="0"/>
    <x v="0"/>
    <x v="1"/>
    <n v="2375"/>
    <d v="1899-12-30T07:06:19"/>
    <d v="1899-12-30T17:04:58"/>
    <n v="0"/>
    <s v="SI"/>
    <n v="2"/>
  </r>
  <r>
    <s v="MORRIS SAAVEDRA ZETID"/>
    <s v="Casado"/>
    <d v="1997-08-13T00:00:00"/>
    <x v="5"/>
    <x v="3"/>
    <x v="1"/>
    <x v="0"/>
    <n v="1825"/>
    <d v="1899-12-30T07:05:39"/>
    <d v="1899-12-30T19:29:41"/>
    <n v="10189"/>
    <s v="NO"/>
    <n v="0"/>
  </r>
  <r>
    <s v="DEL AGUILA GONZALES SONIA ISABEL"/>
    <s v="Casado"/>
    <d v="1973-12-28T00:00:00"/>
    <x v="6"/>
    <x v="0"/>
    <x v="2"/>
    <x v="1"/>
    <n v="2575"/>
    <d v="1899-12-30T07:10:00"/>
    <d v="1899-12-30T18:06:48"/>
    <n v="0"/>
    <s v="NO"/>
    <n v="0"/>
  </r>
  <r>
    <s v="SANDOVAL LOZANO KROWELAN"/>
    <s v="Casado"/>
    <d v="1985-08-28T00:00:00"/>
    <x v="14"/>
    <x v="7"/>
    <x v="2"/>
    <x v="2"/>
    <n v="2175"/>
    <d v="1899-12-30T07:28:38"/>
    <d v="1899-12-30T17:43:25"/>
    <n v="0"/>
    <s v="SI"/>
    <n v="11"/>
  </r>
  <r>
    <s v="PORTOCARRERO REATEGUI ROXANA MARTINA"/>
    <s v="Casado"/>
    <d v="1983-11-17T00:00:00"/>
    <x v="19"/>
    <x v="1"/>
    <x v="0"/>
    <x v="2"/>
    <n v="1975"/>
    <d v="1899-12-30T07:42:07"/>
    <d v="1899-12-30T19:25:07"/>
    <n v="0"/>
    <s v="SI"/>
    <n v="10"/>
  </r>
  <r>
    <s v="RENGIFO DEL AGUILA ROSA IDA"/>
    <s v="Conviviente"/>
    <d v="1989-08-18T00:00:00"/>
    <x v="24"/>
    <x v="9"/>
    <x v="1"/>
    <x v="1"/>
    <n v="2175"/>
    <d v="1899-12-30T07:28:59"/>
    <d v="1899-12-30T18:44:33"/>
    <n v="0"/>
    <s v="NO"/>
    <n v="0"/>
  </r>
  <r>
    <s v="MERA GOMEZ GINA ESTHER"/>
    <s v="Casado"/>
    <d v="1986-05-03T00:00:00"/>
    <x v="8"/>
    <x v="6"/>
    <x v="2"/>
    <x v="1"/>
    <n v="2575"/>
    <d v="1899-12-30T07:46:21"/>
    <d v="1899-12-30T19:28:20"/>
    <n v="0"/>
    <s v="SI"/>
    <n v="7"/>
  </r>
  <r>
    <s v="COBLENTZ DEL AGUILA GLADYS BEATRIZ"/>
    <s v="Conviviente"/>
    <d v="1984-09-23T00:00:00"/>
    <x v="13"/>
    <x v="4"/>
    <x v="2"/>
    <x v="0"/>
    <n v="2225"/>
    <d v="1899-12-30T07:42:21"/>
    <d v="1899-12-30T17:42:30"/>
    <n v="18304"/>
    <s v="NO"/>
    <n v="0"/>
  </r>
  <r>
    <s v="ALMEYDA PANDURO LIMBER JUAN"/>
    <s v="Casado"/>
    <d v="1978-11-29T00:00:00"/>
    <x v="16"/>
    <x v="2"/>
    <x v="0"/>
    <x v="2"/>
    <n v="1975"/>
    <d v="1899-12-30T07:20:35"/>
    <d v="1899-12-30T17:37:47"/>
    <n v="0"/>
    <s v="NO"/>
    <n v="0"/>
  </r>
  <r>
    <s v="RUIZ PEREZ SILVIO"/>
    <s v="Soltero"/>
    <d v="1981-05-11T00:00:00"/>
    <x v="7"/>
    <x v="8"/>
    <x v="0"/>
    <x v="0"/>
    <n v="2025"/>
    <d v="1899-12-30T07:32:13"/>
    <d v="1899-12-30T18:36:52"/>
    <n v="23371"/>
    <s v="SI"/>
    <n v="14"/>
  </r>
  <r>
    <s v="TUESTA CORDOVA DE PIZARRO MARIA ETELVINA"/>
    <s v="Casado"/>
    <d v="1975-06-20T00:00:00"/>
    <x v="9"/>
    <x v="9"/>
    <x v="2"/>
    <x v="0"/>
    <n v="2225"/>
    <d v="1899-12-30T07:00:06"/>
    <d v="1899-12-30T17:49:40"/>
    <n v="16118"/>
    <s v="NO"/>
    <n v="0"/>
  </r>
  <r>
    <s v="RENGIFO PUGA OFELIA"/>
    <s v="Casado"/>
    <d v="1979-06-09T00:00:00"/>
    <x v="21"/>
    <x v="3"/>
    <x v="0"/>
    <x v="1"/>
    <n v="2375"/>
    <d v="1899-12-30T07:39:01"/>
    <d v="1899-12-30T18:33:22"/>
    <n v="0"/>
    <s v="NO"/>
    <n v="0"/>
  </r>
  <r>
    <s v="GREENWICH PANDURO CLARA ROSA"/>
    <s v="Conviviente"/>
    <d v="1985-02-12T00:00:00"/>
    <x v="13"/>
    <x v="8"/>
    <x v="1"/>
    <x v="1"/>
    <n v="2175"/>
    <d v="1899-12-30T07:29:33"/>
    <d v="1899-12-30T17:25:43"/>
    <n v="0"/>
    <s v="NO"/>
    <n v="0"/>
  </r>
  <r>
    <s v="SALDAÑA PEZO ELIZABETH"/>
    <s v="Soltero"/>
    <d v="1981-06-16T00:00:00"/>
    <x v="7"/>
    <x v="9"/>
    <x v="2"/>
    <x v="2"/>
    <n v="2175"/>
    <d v="1899-12-30T07:36:37"/>
    <d v="1899-12-30T17:57:08"/>
    <n v="0"/>
    <s v="NO"/>
    <n v="0"/>
  </r>
  <r>
    <s v="GUTIERREZ PACAYA CECILIA"/>
    <s v="Casado"/>
    <d v="1974-11-24T00:00:00"/>
    <x v="22"/>
    <x v="0"/>
    <x v="2"/>
    <x v="2"/>
    <n v="2175"/>
    <d v="1899-12-30T07:45:38"/>
    <d v="1899-12-30T17:50:29"/>
    <n v="0"/>
    <s v="NO"/>
    <n v="0"/>
  </r>
  <r>
    <s v="ECHEVARRIA INGA ROSA MERCEDES"/>
    <s v="Soltero"/>
    <d v="1982-12-07T00:00:00"/>
    <x v="25"/>
    <x v="2"/>
    <x v="0"/>
    <x v="0"/>
    <n v="2025"/>
    <d v="1899-12-30T07:26:59"/>
    <d v="1899-12-30T17:02:32"/>
    <n v="10654"/>
    <s v="NO"/>
    <n v="0"/>
  </r>
  <r>
    <s v="REYNA MELENDEZ JORGE"/>
    <s v="Soltero"/>
    <d v="1977-09-24T00:00:00"/>
    <x v="17"/>
    <x v="9"/>
    <x v="2"/>
    <x v="1"/>
    <n v="2575"/>
    <d v="1899-12-30T07:45:09"/>
    <d v="1899-12-30T17:20:16"/>
    <n v="0"/>
    <s v="SI"/>
    <n v="12"/>
  </r>
  <r>
    <s v="SABOYA TORRES GLADYS"/>
    <s v="Casado"/>
    <d v="1992-12-30T00:00:00"/>
    <x v="4"/>
    <x v="2"/>
    <x v="1"/>
    <x v="1"/>
    <n v="2175"/>
    <d v="1899-12-30T07:37:46"/>
    <d v="1899-12-30T18:10:13"/>
    <n v="0"/>
    <s v="NO"/>
    <n v="0"/>
  </r>
  <r>
    <s v="SABOYA TORRES GLADYS"/>
    <s v="Casado"/>
    <d v="1975-12-16T00:00:00"/>
    <x v="9"/>
    <x v="0"/>
    <x v="0"/>
    <x v="0"/>
    <n v="2025"/>
    <d v="1899-12-30T07:36:56"/>
    <d v="1899-12-30T17:36:34"/>
    <n v="15990"/>
    <s v="SI"/>
    <n v="4"/>
  </r>
  <r>
    <s v="VELA DE TORRES MANUELA"/>
    <s v="Conviviente"/>
    <d v="1998-01-12T00:00:00"/>
    <x v="5"/>
    <x v="4"/>
    <x v="0"/>
    <x v="0"/>
    <n v="2025"/>
    <d v="1899-12-30T07:40:54"/>
    <d v="1899-12-30T18:41:02"/>
    <n v="24342"/>
    <s v="NO"/>
    <n v="0"/>
  </r>
  <r>
    <s v="VASQUEZ MAYORA SABELITH"/>
    <s v="Casado"/>
    <d v="1984-12-02T00:00:00"/>
    <x v="13"/>
    <x v="6"/>
    <x v="0"/>
    <x v="2"/>
    <n v="1975"/>
    <d v="1899-12-30T07:00:19"/>
    <d v="1899-12-30T18:46:17"/>
    <n v="0"/>
    <s v="NO"/>
    <n v="0"/>
  </r>
  <r>
    <s v="QUIROZ MONCADA JOSE ADELMO"/>
    <s v="Casado"/>
    <d v="1988-02-08T00:00:00"/>
    <x v="18"/>
    <x v="2"/>
    <x v="1"/>
    <x v="1"/>
    <n v="2175"/>
    <d v="1899-12-30T07:39:29"/>
    <d v="1899-12-30T18:43:36"/>
    <n v="0"/>
    <s v="NO"/>
    <n v="0"/>
  </r>
  <r>
    <s v="SANCHEZ RIOS ERMITA"/>
    <s v="Conviviente"/>
    <d v="1987-03-11T00:00:00"/>
    <x v="8"/>
    <x v="9"/>
    <x v="0"/>
    <x v="2"/>
    <n v="1975"/>
    <d v="1899-12-30T07:52:38"/>
    <d v="1899-12-30T17:20:33"/>
    <n v="0"/>
    <s v="NO"/>
    <n v="0"/>
  </r>
  <r>
    <s v="RIOS PAREDES EDINSON"/>
    <s v="Soltero"/>
    <d v="1988-09-09T00:00:00"/>
    <x v="11"/>
    <x v="6"/>
    <x v="0"/>
    <x v="1"/>
    <n v="2375"/>
    <d v="1899-12-30T07:19:04"/>
    <d v="1899-12-30T19:26:19"/>
    <n v="0"/>
    <s v="SI"/>
    <n v="6"/>
  </r>
  <r>
    <s v="RIOS LAYCHE NORA INES"/>
    <s v="Soltero"/>
    <d v="1995-11-28T00:00:00"/>
    <x v="15"/>
    <x v="4"/>
    <x v="2"/>
    <x v="0"/>
    <n v="2225"/>
    <d v="1899-12-30T07:06:13"/>
    <d v="1899-12-30T18:46:25"/>
    <n v="18025"/>
    <s v="SI"/>
    <n v="2"/>
  </r>
  <r>
    <s v="CHOY SANCHEZ RAMIREZ KATTY ESTHER"/>
    <s v="Soltero"/>
    <d v="1987-10-01T00:00:00"/>
    <x v="18"/>
    <x v="5"/>
    <x v="1"/>
    <x v="0"/>
    <n v="1825"/>
    <d v="1899-12-30T07:18:09"/>
    <d v="1899-12-30T18:57:18"/>
    <n v="22276"/>
    <s v="NO"/>
    <n v="0"/>
  </r>
  <r>
    <s v="SANCHEZ DE SANDOVAL EDITH ANTONIA"/>
    <s v="Soltero"/>
    <d v="1985-11-02T00:00:00"/>
    <x v="14"/>
    <x v="2"/>
    <x v="0"/>
    <x v="0"/>
    <n v="2025"/>
    <d v="1899-12-30T07:27:49"/>
    <d v="1899-12-30T17:28:03"/>
    <n v="14450"/>
    <s v="NO"/>
    <n v="0"/>
  </r>
  <r>
    <s v="SANCHEZ DE SANDOVAL EDITH ANTONIA"/>
    <s v="Casado"/>
    <d v="1976-06-12T00:00:00"/>
    <x v="1"/>
    <x v="2"/>
    <x v="2"/>
    <x v="1"/>
    <n v="2575"/>
    <d v="1899-12-30T07:00:57"/>
    <d v="1899-12-30T17:10:14"/>
    <n v="0"/>
    <s v="SI"/>
    <n v="10"/>
  </r>
  <r>
    <s v="OZAMBELA GOMEZ LLENY LISBETH"/>
    <s v="Soltero"/>
    <d v="1980-08-12T00:00:00"/>
    <x v="12"/>
    <x v="2"/>
    <x v="2"/>
    <x v="1"/>
    <n v="2575"/>
    <d v="1899-12-30T07:36:39"/>
    <d v="1899-12-30T19:27:21"/>
    <n v="0"/>
    <s v="NO"/>
    <n v="0"/>
  </r>
  <r>
    <s v="PEREYRA RUIZ GINA LUCY"/>
    <s v="Casado"/>
    <d v="1979-09-04T00:00:00"/>
    <x v="21"/>
    <x v="3"/>
    <x v="1"/>
    <x v="2"/>
    <n v="1775"/>
    <d v="1899-12-30T07:50:58"/>
    <d v="1899-12-30T17:53:03"/>
    <n v="0"/>
    <s v="NO"/>
    <n v="0"/>
  </r>
  <r>
    <s v="MONDRAGON INGA ANDERSON"/>
    <s v="Soltero"/>
    <d v="1986-07-30T00:00:00"/>
    <x v="8"/>
    <x v="3"/>
    <x v="1"/>
    <x v="1"/>
    <n v="2175"/>
    <d v="1899-12-30T07:41:04"/>
    <d v="1899-12-30T19:29:55"/>
    <n v="0"/>
    <s v="SI"/>
    <n v="14"/>
  </r>
  <r>
    <s v="MOGROVEJO DIAZ YSABEL"/>
    <s v="Soltero"/>
    <d v="1983-04-09T00:00:00"/>
    <x v="25"/>
    <x v="4"/>
    <x v="0"/>
    <x v="2"/>
    <n v="1975"/>
    <d v="1899-12-30T07:57:37"/>
    <d v="1899-12-30T18:33:47"/>
    <n v="0"/>
    <s v="SI"/>
    <n v="6"/>
  </r>
  <r>
    <s v="GARCIA GARCIA LEYLY"/>
    <s v="Conviviente"/>
    <d v="1995-10-16T00:00:00"/>
    <x v="15"/>
    <x v="9"/>
    <x v="1"/>
    <x v="0"/>
    <n v="1825"/>
    <d v="1899-12-30T07:34:59"/>
    <d v="1899-12-30T17:51:20"/>
    <n v="10052"/>
    <s v="NO"/>
    <n v="0"/>
  </r>
  <r>
    <s v="VELA RAMIREZ MARIA GLORIOSA"/>
    <s v="Conviviente"/>
    <d v="1998-11-06T00:00:00"/>
    <x v="20"/>
    <x v="0"/>
    <x v="1"/>
    <x v="1"/>
    <n v="2175"/>
    <d v="1899-12-30T07:01:25"/>
    <d v="1899-12-30T19:05:15"/>
    <n v="0"/>
    <s v="NO"/>
    <n v="0"/>
  </r>
  <r>
    <s v="AREVALO ACOSTA ANTONIETA"/>
    <s v="Casado"/>
    <d v="1994-01-16T00:00:00"/>
    <x v="10"/>
    <x v="2"/>
    <x v="2"/>
    <x v="2"/>
    <n v="2175"/>
    <d v="1899-12-30T07:53:35"/>
    <d v="1899-12-30T19:01:04"/>
    <n v="0"/>
    <s v="NO"/>
    <n v="0"/>
  </r>
  <r>
    <s v="MENDOZA CARLOS LEOCADIA"/>
    <s v="Soltero"/>
    <d v="1996-08-02T00:00:00"/>
    <x v="2"/>
    <x v="6"/>
    <x v="2"/>
    <x v="0"/>
    <n v="2225"/>
    <d v="1899-12-30T07:38:11"/>
    <d v="1899-12-30T17:35:15"/>
    <n v="20481"/>
    <s v="SI"/>
    <n v="4"/>
  </r>
  <r>
    <s v="RUIZ CAHUAZA BLANCA LUZMILA"/>
    <s v="Soltero"/>
    <d v="1996-12-27T00:00:00"/>
    <x v="2"/>
    <x v="9"/>
    <x v="0"/>
    <x v="1"/>
    <n v="2375"/>
    <d v="1899-12-30T07:49:47"/>
    <d v="1899-12-30T17:26:39"/>
    <n v="0"/>
    <s v="SI"/>
    <n v="10"/>
  </r>
  <r>
    <s v="VARGAS VALDIVIA AIDA LUZ"/>
    <s v="Soltero"/>
    <d v="1973-02-23T00:00:00"/>
    <x v="26"/>
    <x v="7"/>
    <x v="1"/>
    <x v="2"/>
    <n v="1775"/>
    <d v="1899-12-30T07:30:44"/>
    <d v="1899-12-30T18:41:11"/>
    <n v="0"/>
    <s v="SI"/>
    <n v="1"/>
  </r>
  <r>
    <s v="SABOYA RUIZ LLENSI"/>
    <s v="Conviviente"/>
    <d v="1995-05-22T00:00:00"/>
    <x v="15"/>
    <x v="6"/>
    <x v="1"/>
    <x v="0"/>
    <n v="1825"/>
    <d v="1899-12-30T07:03:42"/>
    <d v="1899-12-30T17:22:01"/>
    <n v="20468"/>
    <s v="SI"/>
    <n v="3"/>
  </r>
  <r>
    <s v="GUERREIRO RAMIREZ ROBERTO FERNANDO"/>
    <s v="Casado"/>
    <d v="1991-05-22T00:00:00"/>
    <x v="0"/>
    <x v="3"/>
    <x v="2"/>
    <x v="2"/>
    <n v="2175"/>
    <d v="1899-12-30T07:23:52"/>
    <d v="1899-12-30T18:39:14"/>
    <n v="0"/>
    <s v="NO"/>
    <n v="0"/>
  </r>
  <r>
    <s v="MUÑOZ ZUÑIGA ROMEL"/>
    <s v="Conviviente"/>
    <d v="1973-06-26T00:00:00"/>
    <x v="6"/>
    <x v="0"/>
    <x v="0"/>
    <x v="0"/>
    <n v="2025"/>
    <d v="1899-12-30T07:12:07"/>
    <d v="1899-12-30T18:32:01"/>
    <n v="24336"/>
    <s v="SI"/>
    <n v="1"/>
  </r>
  <r>
    <s v="MONCADA GONZALEZ FELIPE"/>
    <s v="Casado"/>
    <d v="1991-01-12T00:00:00"/>
    <x v="27"/>
    <x v="5"/>
    <x v="2"/>
    <x v="0"/>
    <n v="2225"/>
    <d v="1899-12-30T07:11:53"/>
    <d v="1899-12-30T19:19:09"/>
    <n v="19141"/>
    <s v="NO"/>
    <n v="0"/>
  </r>
  <r>
    <s v="MENDOZA VIDALON MARIA CARINA"/>
    <s v="Casado"/>
    <d v="1985-02-23T00:00:00"/>
    <x v="13"/>
    <x v="1"/>
    <x v="0"/>
    <x v="0"/>
    <n v="2025"/>
    <d v="1899-12-30T07:47:44"/>
    <d v="1899-12-30T17:23:27"/>
    <n v="13199"/>
    <s v="SI"/>
    <n v="1"/>
  </r>
  <r>
    <s v="MENDOZA VIDALON MARIA CARINA"/>
    <s v="Soltero"/>
    <d v="1977-09-21T00:00:00"/>
    <x v="17"/>
    <x v="1"/>
    <x v="2"/>
    <x v="1"/>
    <n v="2575"/>
    <d v="1899-12-30T07:42:47"/>
    <d v="1899-12-30T17:20:54"/>
    <n v="0"/>
    <s v="SI"/>
    <n v="10"/>
  </r>
  <r>
    <s v="TUESTA SORIA PATRICIA DEL PILAR"/>
    <s v="Soltero"/>
    <d v="1992-07-29T00:00:00"/>
    <x v="4"/>
    <x v="3"/>
    <x v="0"/>
    <x v="0"/>
    <n v="2025"/>
    <d v="1899-12-30T07:06:21"/>
    <d v="1899-12-30T17:29:09"/>
    <n v="20395"/>
    <s v="NO"/>
    <n v="0"/>
  </r>
  <r>
    <s v="LOZANO CARDENAS MERSEDES"/>
    <s v="Soltero"/>
    <d v="1998-08-30T00:00:00"/>
    <x v="20"/>
    <x v="8"/>
    <x v="2"/>
    <x v="1"/>
    <n v="2575"/>
    <d v="1899-12-30T07:18:48"/>
    <d v="1899-12-30T18:36:11"/>
    <n v="0"/>
    <s v="NO"/>
    <n v="0"/>
  </r>
  <r>
    <s v="YSUIZA AGUILERA SONIA"/>
    <s v="Soltero"/>
    <d v="1995-10-30T00:00:00"/>
    <x v="15"/>
    <x v="8"/>
    <x v="1"/>
    <x v="2"/>
    <n v="1775"/>
    <d v="1899-12-30T07:10:08"/>
    <d v="1899-12-30T19:19:14"/>
    <n v="0"/>
    <s v="NO"/>
    <n v="0"/>
  </r>
  <r>
    <s v="ORTIZ PAIMA DE GONZALES CARMEN"/>
    <s v="Casado"/>
    <d v="1989-08-05T00:00:00"/>
    <x v="24"/>
    <x v="1"/>
    <x v="0"/>
    <x v="0"/>
    <n v="2025"/>
    <d v="1899-12-30T07:11:01"/>
    <d v="1899-12-30T17:02:13"/>
    <n v="14190"/>
    <s v="NO"/>
    <n v="0"/>
  </r>
  <r>
    <s v="VELASCO AGUILAR ANGELICA YSABEL"/>
    <s v="Conviviente"/>
    <d v="1979-01-10T00:00:00"/>
    <x v="16"/>
    <x v="9"/>
    <x v="2"/>
    <x v="0"/>
    <n v="2225"/>
    <d v="1899-12-30T07:36:50"/>
    <d v="1899-12-30T17:36:29"/>
    <n v="11382"/>
    <s v="SI"/>
    <n v="14"/>
  </r>
  <r>
    <s v="VARGAS ACHO GUIMO"/>
    <s v="Casado"/>
    <d v="1984-04-25T00:00:00"/>
    <x v="19"/>
    <x v="2"/>
    <x v="0"/>
    <x v="0"/>
    <n v="2025"/>
    <d v="1899-12-30T07:22:12"/>
    <d v="1899-12-30T18:55:05"/>
    <n v="21469"/>
    <s v="SI"/>
    <n v="10"/>
  </r>
  <r>
    <s v="SANCHEZ GUTIERREZ ELITA"/>
    <s v="Soltero"/>
    <d v="1972-12-25T00:00:00"/>
    <x v="26"/>
    <x v="6"/>
    <x v="2"/>
    <x v="1"/>
    <n v="2575"/>
    <d v="1899-12-30T07:42:29"/>
    <d v="1899-12-30T17:41:45"/>
    <n v="0"/>
    <s v="N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INGA GUZMAN WILMA ISABEL"/>
    <s v="Soltero"/>
    <d v="1991-06-02T00:00:00"/>
    <n v="31"/>
    <x v="0"/>
    <x v="0"/>
    <x v="0"/>
    <n v="2025"/>
    <d v="1899-12-30T07:54:10"/>
    <d v="1899-12-30T19:10:10"/>
    <n v="24184"/>
    <x v="0"/>
    <n v="12"/>
    <s v="inga.guz1991@miempresa.com"/>
    <x v="0"/>
    <b v="1"/>
    <s v="NO"/>
  </r>
  <r>
    <s v="PANDURO GUERRERO PABLO SEGUNDO"/>
    <s v="Conviviente"/>
    <d v="1977-03-12T00:00:00"/>
    <n v="46"/>
    <x v="1"/>
    <x v="0"/>
    <x v="1"/>
    <n v="2375"/>
    <d v="1899-12-30T07:10:43"/>
    <d v="1899-12-30T18:22:10"/>
    <n v="0"/>
    <x v="1"/>
    <n v="0"/>
    <s v="panduro.gue1977@miempresa.com"/>
    <x v="1"/>
    <b v="1"/>
    <s v="--"/>
  </r>
  <r>
    <s v="LOPEZ CORDOVA BISELTY"/>
    <s v="Casado"/>
    <d v="1996-09-02T00:00:00"/>
    <n v="26"/>
    <x v="0"/>
    <x v="1"/>
    <x v="0"/>
    <n v="1825"/>
    <d v="1899-12-30T07:08:23"/>
    <d v="1899-12-30T17:55:34"/>
    <n v="24350"/>
    <x v="1"/>
    <n v="0"/>
    <s v="lopez.cor1996@miempresa.com"/>
    <x v="0"/>
    <b v="1"/>
    <s v="--"/>
  </r>
  <r>
    <s v="RIOS PAIMA GILBERTO"/>
    <s v="Conviviente"/>
    <d v="1995-04-03T00:00:00"/>
    <n v="28"/>
    <x v="2"/>
    <x v="2"/>
    <x v="1"/>
    <n v="2575"/>
    <d v="1899-12-30T07:33:23"/>
    <d v="1899-12-30T19:20:24"/>
    <n v="0"/>
    <x v="1"/>
    <n v="0"/>
    <s v="rios.pai1995@miempresa.com"/>
    <x v="1"/>
    <b v="1"/>
    <s v="--"/>
  </r>
  <r>
    <s v="MENDOZA AREVALO BETHY"/>
    <s v="Soltero"/>
    <d v="1993-03-14T00:00:00"/>
    <n v="30"/>
    <x v="3"/>
    <x v="2"/>
    <x v="2"/>
    <n v="2175"/>
    <d v="1899-12-30T07:55:51"/>
    <d v="1899-12-30T19:03:21"/>
    <n v="0"/>
    <x v="1"/>
    <n v="0"/>
    <s v="mendoza.are1993@miempresa.com"/>
    <x v="1"/>
    <b v="1"/>
    <s v="--"/>
  </r>
  <r>
    <s v="VASQUEZ PAREDES JUDITH"/>
    <s v="Casado"/>
    <d v="1998-04-05T00:00:00"/>
    <n v="25"/>
    <x v="4"/>
    <x v="1"/>
    <x v="2"/>
    <n v="1775"/>
    <d v="1899-12-30T07:21:28"/>
    <d v="1899-12-30T18:51:52"/>
    <n v="0"/>
    <x v="1"/>
    <n v="0"/>
    <s v="vasquez.par1998@miempresa.com"/>
    <x v="1"/>
    <b v="0"/>
    <s v="--"/>
  </r>
  <r>
    <s v="AREVALO GONZALEZ BETTY LUZ"/>
    <s v="Casado"/>
    <d v="1973-12-08T00:00:00"/>
    <n v="49"/>
    <x v="5"/>
    <x v="0"/>
    <x v="1"/>
    <n v="2375"/>
    <d v="1899-12-30T07:35:28"/>
    <d v="1899-12-30T19:19:45"/>
    <n v="0"/>
    <x v="1"/>
    <n v="0"/>
    <s v="arevalo.gon1973@miempresa.com"/>
    <x v="1"/>
    <b v="1"/>
    <s v="--"/>
  </r>
  <r>
    <s v="SANTILLAN BARDALES ROSA OMARITA"/>
    <s v="Conviviente"/>
    <d v="1981-12-31T00:00:00"/>
    <n v="41"/>
    <x v="2"/>
    <x v="2"/>
    <x v="1"/>
    <n v="2575"/>
    <d v="1899-12-30T07:09:42"/>
    <d v="1899-12-30T18:09:26"/>
    <n v="0"/>
    <x v="0"/>
    <n v="6"/>
    <s v="santillan.bar1981@miempresa.com"/>
    <x v="1"/>
    <b v="1"/>
    <s v="SI"/>
  </r>
  <r>
    <s v="SHUÑA HUANIO RAUL"/>
    <s v="Casado"/>
    <d v="1986-11-27T00:00:00"/>
    <n v="36"/>
    <x v="4"/>
    <x v="1"/>
    <x v="2"/>
    <n v="1775"/>
    <d v="1899-12-30T07:44:09"/>
    <d v="1899-12-30T18:06:28"/>
    <n v="0"/>
    <x v="1"/>
    <n v="0"/>
    <s v="shuña.hua1986@miempresa.com"/>
    <x v="1"/>
    <b v="0"/>
    <s v="--"/>
  </r>
  <r>
    <s v="CHAVEZ TARAZONA MARGARITA MARIVEL"/>
    <s v="Soltero"/>
    <d v="1976-03-22T00:00:00"/>
    <n v="47"/>
    <x v="6"/>
    <x v="1"/>
    <x v="1"/>
    <n v="2175"/>
    <d v="1899-12-30T07:34:02"/>
    <d v="1899-12-30T19:18:55"/>
    <n v="0"/>
    <x v="0"/>
    <n v="1"/>
    <s v="chavez.tar1976@miempresa.com"/>
    <x v="1"/>
    <b v="1"/>
    <s v="SI"/>
  </r>
  <r>
    <s v="SINTI CANAYO CLARA LUZ"/>
    <s v="Conviviente"/>
    <d v="1994-03-01T00:00:00"/>
    <n v="29"/>
    <x v="4"/>
    <x v="2"/>
    <x v="0"/>
    <n v="2225"/>
    <d v="1899-12-30T07:32:52"/>
    <d v="1899-12-30T17:41:04"/>
    <n v="20460"/>
    <x v="0"/>
    <n v="12"/>
    <s v="sinti.can1994@miempresa.com"/>
    <x v="2"/>
    <b v="1"/>
    <s v="NO"/>
  </r>
  <r>
    <s v="PACAYA VARGAS MILENA"/>
    <s v="Conviviente"/>
    <d v="1988-05-15T00:00:00"/>
    <n v="34"/>
    <x v="4"/>
    <x v="1"/>
    <x v="1"/>
    <n v="2175"/>
    <d v="1899-12-30T07:54:51"/>
    <d v="1899-12-30T17:32:24"/>
    <n v="0"/>
    <x v="1"/>
    <n v="0"/>
    <s v="pacaya.var1988@miempresa.com"/>
    <x v="1"/>
    <b v="1"/>
    <s v="--"/>
  </r>
  <r>
    <s v="ARRIAGA VALLES LOIDA ZARELA"/>
    <s v="Soltero"/>
    <d v="1980-07-28T00:00:00"/>
    <n v="42"/>
    <x v="7"/>
    <x v="2"/>
    <x v="1"/>
    <n v="2575"/>
    <d v="1899-12-30T07:14:46"/>
    <d v="1899-12-30T19:18:08"/>
    <n v="0"/>
    <x v="0"/>
    <n v="1"/>
    <s v="arriaga.val1980@miempresa.com"/>
    <x v="1"/>
    <b v="1"/>
    <s v="SI"/>
  </r>
  <r>
    <s v="PAREDES GRANDEZ GONERSON"/>
    <s v="Casado"/>
    <d v="1992-10-09T00:00:00"/>
    <n v="30"/>
    <x v="7"/>
    <x v="0"/>
    <x v="0"/>
    <n v="2025"/>
    <d v="1899-12-30T07:38:48"/>
    <d v="1899-12-30T18:37:14"/>
    <n v="22410"/>
    <x v="1"/>
    <n v="0"/>
    <s v="paredes.gra1992@miempresa.com"/>
    <x v="0"/>
    <b v="1"/>
    <s v="--"/>
  </r>
  <r>
    <s v="RENGIFO ROJAS MARIA ELENA"/>
    <s v="Casado"/>
    <d v="1998-01-18T00:00:00"/>
    <n v="25"/>
    <x v="4"/>
    <x v="1"/>
    <x v="1"/>
    <n v="2175"/>
    <d v="1899-12-30T07:11:24"/>
    <d v="1899-12-30T18:01:47"/>
    <n v="0"/>
    <x v="0"/>
    <n v="11"/>
    <s v="rengifo.roj1998@miempresa.com"/>
    <x v="1"/>
    <b v="1"/>
    <s v="NO"/>
  </r>
  <r>
    <s v="VILCHEZ CARDENAS PEDRO ARMANDO"/>
    <s v="Conviviente"/>
    <d v="1992-09-03T00:00:00"/>
    <n v="30"/>
    <x v="7"/>
    <x v="2"/>
    <x v="2"/>
    <n v="2175"/>
    <d v="1899-12-30T07:46:55"/>
    <d v="1899-12-30T18:49:06"/>
    <n v="0"/>
    <x v="0"/>
    <n v="12"/>
    <s v="vilchez.car1992@miempresa.com"/>
    <x v="1"/>
    <b v="1"/>
    <s v="NO"/>
  </r>
  <r>
    <s v="OÑATE PORTOCARRERO MEYER"/>
    <s v="Soltero"/>
    <d v="1984-11-24T00:00:00"/>
    <n v="38"/>
    <x v="7"/>
    <x v="1"/>
    <x v="2"/>
    <n v="1775"/>
    <d v="1899-12-30T07:59:45"/>
    <d v="1899-12-30T19:27:38"/>
    <n v="0"/>
    <x v="1"/>
    <n v="0"/>
    <s v="oñate.por1984@miempresa.com"/>
    <x v="1"/>
    <b v="0"/>
    <s v="--"/>
  </r>
  <r>
    <s v="GARCIA SANGAMA PEVIG"/>
    <s v="Conviviente"/>
    <d v="1986-02-20T00:00:00"/>
    <n v="37"/>
    <x v="6"/>
    <x v="2"/>
    <x v="2"/>
    <n v="2175"/>
    <d v="1899-12-30T07:22:23"/>
    <d v="1899-12-30T18:54:30"/>
    <n v="0"/>
    <x v="0"/>
    <n v="6"/>
    <s v="garcia.san1986@miempresa.com"/>
    <x v="1"/>
    <b v="1"/>
    <s v="SI"/>
  </r>
  <r>
    <s v="PEREZ ZAPATA LUZ ESTEFANIA"/>
    <s v="Casado"/>
    <d v="1995-09-01T00:00:00"/>
    <n v="27"/>
    <x v="8"/>
    <x v="2"/>
    <x v="0"/>
    <n v="2225"/>
    <d v="1899-12-30T07:42:39"/>
    <d v="1899-12-30T18:13:29"/>
    <n v="10098"/>
    <x v="0"/>
    <n v="12"/>
    <s v="perez.zap1995@miempresa.com"/>
    <x v="3"/>
    <b v="1"/>
    <s v="NO"/>
  </r>
  <r>
    <s v="RIOS DAVILA MARILYN"/>
    <s v="Conviviente"/>
    <d v="1978-07-17T00:00:00"/>
    <n v="44"/>
    <x v="7"/>
    <x v="2"/>
    <x v="2"/>
    <n v="2175"/>
    <d v="1899-12-30T07:43:38"/>
    <d v="1899-12-30T19:22:12"/>
    <n v="0"/>
    <x v="0"/>
    <n v="15"/>
    <s v="rios.dav1978@miempresa.com"/>
    <x v="1"/>
    <b v="1"/>
    <s v="NO"/>
  </r>
  <r>
    <s v="FLORES PEREZ PEDRO ANTONIO"/>
    <s v="Conviviente"/>
    <d v="1995-12-15T00:00:00"/>
    <n v="27"/>
    <x v="1"/>
    <x v="0"/>
    <x v="2"/>
    <n v="1975"/>
    <d v="1899-12-30T07:42:00"/>
    <d v="1899-12-30T17:30:01"/>
    <n v="0"/>
    <x v="1"/>
    <n v="0"/>
    <s v="flores.per1995@miempresa.com"/>
    <x v="1"/>
    <b v="0"/>
    <s v="--"/>
  </r>
  <r>
    <s v="PINEDO RUIZ TIBURCIO"/>
    <s v="Casado"/>
    <d v="1977-10-21T00:00:00"/>
    <n v="45"/>
    <x v="7"/>
    <x v="1"/>
    <x v="2"/>
    <n v="1775"/>
    <d v="1899-12-30T07:34:31"/>
    <d v="1899-12-30T17:26:57"/>
    <n v="0"/>
    <x v="0"/>
    <n v="14"/>
    <s v="pinedo.rui1977@miempresa.com"/>
    <x v="1"/>
    <b v="0"/>
    <s v="NO"/>
  </r>
  <r>
    <s v="VILLEGAS RUIZ ROCIO"/>
    <s v="Casado"/>
    <d v="1994-05-23T00:00:00"/>
    <n v="28"/>
    <x v="1"/>
    <x v="1"/>
    <x v="2"/>
    <n v="1775"/>
    <d v="1899-12-30T07:51:00"/>
    <d v="1899-12-30T19:03:38"/>
    <n v="0"/>
    <x v="1"/>
    <n v="0"/>
    <s v="villegas.rui1994@miempresa.com"/>
    <x v="1"/>
    <b v="0"/>
    <s v="--"/>
  </r>
  <r>
    <s v="PEREZ MONTES MARCIAL"/>
    <s v="Casado"/>
    <d v="1985-09-20T00:00:00"/>
    <n v="37"/>
    <x v="1"/>
    <x v="0"/>
    <x v="0"/>
    <n v="2025"/>
    <d v="1899-12-30T07:56:15"/>
    <d v="1899-12-30T17:34:09"/>
    <n v="23811"/>
    <x v="0"/>
    <n v="11"/>
    <s v="perez.mon1985@miempresa.com"/>
    <x v="0"/>
    <b v="1"/>
    <s v="NO"/>
  </r>
  <r>
    <s v="SIU GOMEZ JENNY"/>
    <s v="Conviviente"/>
    <d v="1987-10-01T00:00:00"/>
    <n v="35"/>
    <x v="9"/>
    <x v="1"/>
    <x v="2"/>
    <n v="1775"/>
    <d v="1899-12-30T07:27:24"/>
    <d v="1899-12-30T18:26:04"/>
    <n v="0"/>
    <x v="0"/>
    <n v="2"/>
    <s v="siu.gom1987@miempresa.com"/>
    <x v="1"/>
    <b v="0"/>
    <s v="SI"/>
  </r>
  <r>
    <s v="NUVE SHUPINGAHUA EDMUNDO"/>
    <s v="Casado"/>
    <d v="1976-06-06T00:00:00"/>
    <n v="46"/>
    <x v="5"/>
    <x v="2"/>
    <x v="0"/>
    <n v="2225"/>
    <d v="1899-12-30T07:49:12"/>
    <d v="1899-12-30T17:35:10"/>
    <n v="10387"/>
    <x v="1"/>
    <n v="0"/>
    <s v="nuve.shu1976@miempresa.com"/>
    <x v="3"/>
    <b v="1"/>
    <s v="--"/>
  </r>
  <r>
    <s v="SOUZA SALDAÑA VICTOR RAUL"/>
    <s v="Casado"/>
    <d v="1977-09-27T00:00:00"/>
    <n v="45"/>
    <x v="8"/>
    <x v="2"/>
    <x v="1"/>
    <n v="2575"/>
    <d v="1899-12-30T07:37:40"/>
    <d v="1899-12-30T18:57:59"/>
    <n v="0"/>
    <x v="1"/>
    <n v="0"/>
    <s v="souza.sal1977@miempresa.com"/>
    <x v="1"/>
    <b v="1"/>
    <s v="--"/>
  </r>
  <r>
    <s v="OBERLUIS MUSAC CARMEN SONIA"/>
    <s v="Conviviente"/>
    <d v="1996-01-19T00:00:00"/>
    <n v="27"/>
    <x v="7"/>
    <x v="2"/>
    <x v="0"/>
    <n v="2225"/>
    <d v="1899-12-30T07:49:57"/>
    <d v="1899-12-30T19:06:12"/>
    <n v="16924"/>
    <x v="1"/>
    <n v="0"/>
    <s v="oberluis.mus1996@miempresa.com"/>
    <x v="4"/>
    <b v="1"/>
    <s v="--"/>
  </r>
  <r>
    <s v="RODRIGUEZ SILVANO JAIME"/>
    <s v="Casado"/>
    <d v="1986-05-03T00:00:00"/>
    <n v="36"/>
    <x v="7"/>
    <x v="2"/>
    <x v="2"/>
    <n v="2175"/>
    <d v="1899-12-30T07:23:36"/>
    <d v="1899-12-30T17:37:13"/>
    <n v="0"/>
    <x v="0"/>
    <n v="2"/>
    <s v="rodriguez.sil1986@miempresa.com"/>
    <x v="1"/>
    <b v="1"/>
    <s v="SI"/>
  </r>
  <r>
    <s v="DEL AGUILA SILVA YRMA PETRONILA"/>
    <s v="Conviviente"/>
    <d v="1977-07-04T00:00:00"/>
    <n v="45"/>
    <x v="2"/>
    <x v="0"/>
    <x v="1"/>
    <n v="2375"/>
    <d v="1899-12-30T07:47:24"/>
    <d v="1899-12-30T18:51:22"/>
    <n v="0"/>
    <x v="0"/>
    <n v="8"/>
    <s v="del.agu1977@miempresa.com"/>
    <x v="1"/>
    <b v="1"/>
    <s v="SI"/>
  </r>
  <r>
    <s v="CACERES PAREDES TEDDY"/>
    <s v="Casado"/>
    <d v="1993-05-25T00:00:00"/>
    <n v="29"/>
    <x v="2"/>
    <x v="2"/>
    <x v="0"/>
    <n v="2225"/>
    <d v="1899-12-30T07:12:25"/>
    <d v="1899-12-30T17:23:09"/>
    <n v="22733"/>
    <x v="0"/>
    <n v="13"/>
    <s v="caceres.par1993@miempresa.com"/>
    <x v="0"/>
    <b v="1"/>
    <s v="NO"/>
  </r>
  <r>
    <s v="RIOS VELA ALVARO"/>
    <s v="Casado"/>
    <d v="1985-06-01T00:00:00"/>
    <n v="37"/>
    <x v="5"/>
    <x v="0"/>
    <x v="0"/>
    <n v="2025"/>
    <d v="1899-12-30T07:06:17"/>
    <d v="1899-12-30T17:40:23"/>
    <n v="15154"/>
    <x v="0"/>
    <n v="12"/>
    <s v="rios.vel1985@miempresa.com"/>
    <x v="5"/>
    <b v="1"/>
    <s v="NO"/>
  </r>
  <r>
    <s v="CARRASCAL SIFUENTES JUAN CARLOS"/>
    <s v="Soltero"/>
    <d v="1983-07-20T00:00:00"/>
    <n v="39"/>
    <x v="2"/>
    <x v="1"/>
    <x v="1"/>
    <n v="2175"/>
    <d v="1899-12-30T07:07:52"/>
    <d v="1899-12-30T17:03:30"/>
    <n v="0"/>
    <x v="0"/>
    <n v="6"/>
    <s v="carrascal.sif1983@miempresa.com"/>
    <x v="1"/>
    <b v="1"/>
    <s v="SI"/>
  </r>
  <r>
    <s v="PERDOMO ANDION DELICIA AZUCENA"/>
    <s v="Soltero"/>
    <d v="1973-08-19T00:00:00"/>
    <n v="49"/>
    <x v="6"/>
    <x v="2"/>
    <x v="0"/>
    <n v="2225"/>
    <d v="1899-12-30T07:43:09"/>
    <d v="1899-12-30T17:42:37"/>
    <n v="20593"/>
    <x v="1"/>
    <n v="0"/>
    <s v="perdomo.and1973@miempresa.com"/>
    <x v="2"/>
    <b v="1"/>
    <s v="--"/>
  </r>
  <r>
    <s v="LOPEZ NAVARRO DORIS"/>
    <s v="Soltero"/>
    <d v="1998-05-01T00:00:00"/>
    <n v="24"/>
    <x v="6"/>
    <x v="0"/>
    <x v="0"/>
    <n v="2025"/>
    <d v="1899-12-30T07:16:27"/>
    <d v="1899-12-30T18:33:38"/>
    <n v="17178"/>
    <x v="1"/>
    <n v="0"/>
    <s v="lopez.nav1998@miempresa.com"/>
    <x v="4"/>
    <b v="1"/>
    <s v="--"/>
  </r>
  <r>
    <s v="HUAYUNGA TAMANI ALBERTO"/>
    <s v="Soltero"/>
    <d v="1977-10-02T00:00:00"/>
    <n v="45"/>
    <x v="1"/>
    <x v="1"/>
    <x v="2"/>
    <n v="1775"/>
    <d v="1899-12-30T07:00:37"/>
    <d v="1899-12-30T17:03:53"/>
    <n v="0"/>
    <x v="0"/>
    <n v="6"/>
    <s v="huayunga.tam1977@miempresa.com"/>
    <x v="1"/>
    <b v="0"/>
    <s v="SI"/>
  </r>
  <r>
    <s v="AREVALO FLORES LISBETH"/>
    <s v="Casado"/>
    <d v="1986-10-05T00:00:00"/>
    <n v="36"/>
    <x v="5"/>
    <x v="1"/>
    <x v="0"/>
    <n v="1825"/>
    <d v="1899-12-30T07:33:16"/>
    <d v="1899-12-30T17:17:01"/>
    <n v="10686"/>
    <x v="0"/>
    <n v="1"/>
    <s v="arevalo.flo1986@miempresa.com"/>
    <x v="3"/>
    <b v="1"/>
    <s v="SI"/>
  </r>
  <r>
    <s v="AREVALO FLORES LISBETH"/>
    <s v="Casado"/>
    <d v="1987-02-28T00:00:00"/>
    <n v="36"/>
    <x v="0"/>
    <x v="1"/>
    <x v="0"/>
    <n v="1825"/>
    <d v="1899-12-30T07:33:27"/>
    <d v="1899-12-30T17:11:10"/>
    <n v="24978"/>
    <x v="0"/>
    <n v="12"/>
    <s v="arevalo.flo1987@miempresa.com"/>
    <x v="0"/>
    <b v="1"/>
    <s v="NO"/>
  </r>
  <r>
    <s v="AREVALO FLORES LISBETH"/>
    <s v="Casado"/>
    <d v="1996-05-30T00:00:00"/>
    <n v="26"/>
    <x v="8"/>
    <x v="0"/>
    <x v="0"/>
    <n v="2025"/>
    <d v="1899-12-30T07:11:53"/>
    <d v="1899-12-30T18:20:28"/>
    <n v="21424"/>
    <x v="1"/>
    <n v="0"/>
    <s v="arevalo.flo1996@miempresa.com"/>
    <x v="2"/>
    <b v="1"/>
    <s v="--"/>
  </r>
  <r>
    <s v="NILSSON PEZO JAMES DAN"/>
    <s v="Soltero"/>
    <d v="1983-11-05T00:00:00"/>
    <n v="39"/>
    <x v="5"/>
    <x v="2"/>
    <x v="2"/>
    <n v="2175"/>
    <d v="1899-12-30T07:48:37"/>
    <d v="1899-12-30T17:58:27"/>
    <n v="0"/>
    <x v="1"/>
    <n v="0"/>
    <s v="nilsson.pez1983@miempresa.com"/>
    <x v="1"/>
    <b v="1"/>
    <s v="--"/>
  </r>
  <r>
    <s v="LOPEZ ENCINAS ANGELICA"/>
    <s v="Soltero"/>
    <d v="1973-10-25T00:00:00"/>
    <n v="49"/>
    <x v="2"/>
    <x v="0"/>
    <x v="1"/>
    <n v="2375"/>
    <d v="1899-12-30T07:19:09"/>
    <d v="1899-12-30T17:01:34"/>
    <n v="0"/>
    <x v="1"/>
    <n v="0"/>
    <s v="lopez.enc1973@miempresa.com"/>
    <x v="1"/>
    <b v="1"/>
    <s v="--"/>
  </r>
  <r>
    <s v="RIOS GONZALES ELOY"/>
    <s v="Casado"/>
    <d v="1986-05-14T00:00:00"/>
    <n v="36"/>
    <x v="2"/>
    <x v="1"/>
    <x v="0"/>
    <n v="1825"/>
    <d v="1899-12-30T07:34:02"/>
    <d v="1899-12-30T17:03:15"/>
    <n v="18546"/>
    <x v="1"/>
    <n v="0"/>
    <s v="rios.gon1986@miempresa.com"/>
    <x v="4"/>
    <b v="1"/>
    <s v="--"/>
  </r>
  <r>
    <s v="OCHOA FALCON CLEYDER"/>
    <s v="Conviviente"/>
    <d v="1997-12-26T00:00:00"/>
    <n v="25"/>
    <x v="4"/>
    <x v="2"/>
    <x v="2"/>
    <n v="2175"/>
    <d v="1899-12-30T07:02:27"/>
    <d v="1899-12-30T18:56:52"/>
    <n v="0"/>
    <x v="0"/>
    <n v="3"/>
    <s v="ochoa.fal1997@miempresa.com"/>
    <x v="1"/>
    <b v="1"/>
    <s v="SI"/>
  </r>
  <r>
    <s v="SILVA PORTOCARRERO CESAR"/>
    <s v="Conviviente"/>
    <d v="1978-03-07T00:00:00"/>
    <n v="45"/>
    <x v="0"/>
    <x v="2"/>
    <x v="1"/>
    <n v="2575"/>
    <d v="1899-12-30T07:05:00"/>
    <d v="1899-12-30T19:03:05"/>
    <n v="0"/>
    <x v="1"/>
    <n v="0"/>
    <s v="silva.por1978@miempresa.com"/>
    <x v="1"/>
    <b v="1"/>
    <s v="--"/>
  </r>
  <r>
    <s v="SERRUCHE VEGA DOLLY DERMIS"/>
    <s v="Conviviente"/>
    <d v="1979-10-31T00:00:00"/>
    <n v="43"/>
    <x v="9"/>
    <x v="0"/>
    <x v="2"/>
    <n v="1975"/>
    <d v="1899-12-30T07:22:26"/>
    <d v="1899-12-30T18:41:44"/>
    <n v="0"/>
    <x v="1"/>
    <n v="0"/>
    <s v="serruche.veg1979@miempresa.com"/>
    <x v="1"/>
    <b v="0"/>
    <s v="--"/>
  </r>
  <r>
    <s v="RODRIGUEZ RIOS MERY EMPERATRIZ"/>
    <s v="Soltero"/>
    <d v="1991-05-23T00:00:00"/>
    <n v="31"/>
    <x v="7"/>
    <x v="1"/>
    <x v="0"/>
    <n v="1825"/>
    <d v="1899-12-30T07:59:08"/>
    <d v="1899-12-30T17:07:43"/>
    <n v="16518"/>
    <x v="1"/>
    <n v="0"/>
    <s v="rodriguez.rio1991@miempresa.com"/>
    <x v="4"/>
    <b v="1"/>
    <s v="--"/>
  </r>
  <r>
    <s v="TANGOA MURRIETA HAYDEE"/>
    <s v="Soltero"/>
    <d v="1975-04-08T00:00:00"/>
    <n v="48"/>
    <x v="4"/>
    <x v="2"/>
    <x v="2"/>
    <n v="2175"/>
    <d v="1899-12-30T07:29:00"/>
    <d v="1899-12-30T17:49:23"/>
    <n v="0"/>
    <x v="0"/>
    <n v="5"/>
    <s v="tangoa.mur1975@miempresa.com"/>
    <x v="1"/>
    <b v="1"/>
    <s v="SI"/>
  </r>
  <r>
    <s v="LOPEZ OCHOA MELITA"/>
    <s v="Casado"/>
    <d v="1972-03-24T00:00:00"/>
    <n v="51"/>
    <x v="7"/>
    <x v="0"/>
    <x v="0"/>
    <n v="2025"/>
    <d v="1899-12-30T07:20:27"/>
    <d v="1899-12-30T18:48:36"/>
    <n v="17691"/>
    <x v="0"/>
    <n v="11"/>
    <s v="lopez.och1972@miempresa.com"/>
    <x v="4"/>
    <b v="1"/>
    <s v="NO"/>
  </r>
  <r>
    <s v="LOPEZ OCHOA MELITA"/>
    <s v="Casado"/>
    <d v="1998-03-29T00:00:00"/>
    <n v="25"/>
    <x v="5"/>
    <x v="2"/>
    <x v="0"/>
    <n v="2225"/>
    <d v="1899-12-30T07:17:00"/>
    <d v="1899-12-30T19:12:25"/>
    <n v="12279"/>
    <x v="0"/>
    <n v="15"/>
    <s v="lopez.och1998@miempresa.com"/>
    <x v="3"/>
    <b v="1"/>
    <s v="NO"/>
  </r>
  <r>
    <s v="DIAZ GONZALES DELICIA"/>
    <s v="Soltero"/>
    <d v="1989-07-27T00:00:00"/>
    <n v="33"/>
    <x v="0"/>
    <x v="0"/>
    <x v="1"/>
    <n v="2375"/>
    <d v="1899-12-30T07:06:19"/>
    <d v="1899-12-30T17:04:58"/>
    <n v="0"/>
    <x v="0"/>
    <n v="2"/>
    <s v="diaz.gon1989@miempresa.com"/>
    <x v="1"/>
    <b v="1"/>
    <s v="SI"/>
  </r>
  <r>
    <s v="MORRIS SAAVEDRA ZETID"/>
    <s v="Casado"/>
    <d v="1997-08-13T00:00:00"/>
    <n v="25"/>
    <x v="3"/>
    <x v="1"/>
    <x v="0"/>
    <n v="1825"/>
    <d v="1899-12-30T07:05:39"/>
    <d v="1899-12-30T19:29:41"/>
    <n v="10189"/>
    <x v="1"/>
    <n v="0"/>
    <s v="morris.saa1997@miempresa.com"/>
    <x v="3"/>
    <b v="1"/>
    <s v="--"/>
  </r>
  <r>
    <s v="DEL AGUILA GONZALES SONIA ISABEL"/>
    <s v="Casado"/>
    <d v="1973-12-28T00:00:00"/>
    <n v="49"/>
    <x v="0"/>
    <x v="2"/>
    <x v="1"/>
    <n v="2575"/>
    <d v="1899-12-30T07:10:00"/>
    <d v="1899-12-30T18:06:48"/>
    <n v="0"/>
    <x v="1"/>
    <n v="0"/>
    <s v="del.agu1973@miempresa.com"/>
    <x v="1"/>
    <b v="1"/>
    <s v="--"/>
  </r>
  <r>
    <s v="SANDOVAL LOZANO KROWELAN"/>
    <s v="Casado"/>
    <d v="1985-08-28T00:00:00"/>
    <n v="37"/>
    <x v="7"/>
    <x v="2"/>
    <x v="2"/>
    <n v="2175"/>
    <d v="1899-12-30T07:28:38"/>
    <d v="1899-12-30T17:43:25"/>
    <n v="0"/>
    <x v="0"/>
    <n v="11"/>
    <s v="sandoval.loz1985@miempresa.com"/>
    <x v="1"/>
    <b v="1"/>
    <s v="NO"/>
  </r>
  <r>
    <s v="PORTOCARRERO REATEGUI ROXANA MARTINA"/>
    <s v="Casado"/>
    <d v="1983-11-17T00:00:00"/>
    <n v="39"/>
    <x v="1"/>
    <x v="0"/>
    <x v="2"/>
    <n v="1975"/>
    <d v="1899-12-30T07:42:07"/>
    <d v="1899-12-30T19:25:07"/>
    <n v="0"/>
    <x v="0"/>
    <n v="10"/>
    <s v="portocarrero.rea1983@miempresa.com"/>
    <x v="1"/>
    <b v="0"/>
    <s v="SI"/>
  </r>
  <r>
    <s v="RENGIFO DEL AGUILA ROSA IDA"/>
    <s v="Conviviente"/>
    <d v="1989-08-18T00:00:00"/>
    <n v="33"/>
    <x v="9"/>
    <x v="1"/>
    <x v="1"/>
    <n v="2175"/>
    <d v="1899-12-30T07:28:59"/>
    <d v="1899-12-30T18:44:33"/>
    <n v="0"/>
    <x v="1"/>
    <n v="0"/>
    <s v="rengifo.del1989@miempresa.com"/>
    <x v="1"/>
    <b v="1"/>
    <s v="--"/>
  </r>
  <r>
    <s v="MERA GOMEZ GINA ESTHER"/>
    <s v="Casado"/>
    <d v="1986-05-03T00:00:00"/>
    <n v="36"/>
    <x v="6"/>
    <x v="2"/>
    <x v="1"/>
    <n v="2575"/>
    <d v="1899-12-30T07:46:21"/>
    <d v="1899-12-30T19:28:20"/>
    <n v="0"/>
    <x v="0"/>
    <n v="7"/>
    <s v="mera.gom1986@miempresa.com"/>
    <x v="1"/>
    <b v="1"/>
    <s v="SI"/>
  </r>
  <r>
    <s v="COBLENTZ DEL AGUILA GLADYS BEATRIZ"/>
    <s v="Conviviente"/>
    <d v="1984-09-23T00:00:00"/>
    <n v="38"/>
    <x v="4"/>
    <x v="2"/>
    <x v="0"/>
    <n v="2225"/>
    <d v="1899-12-30T07:42:21"/>
    <d v="1899-12-30T17:42:30"/>
    <n v="18304"/>
    <x v="1"/>
    <n v="0"/>
    <s v="coblentz.del1984@miempresa.com"/>
    <x v="4"/>
    <b v="1"/>
    <s v="--"/>
  </r>
  <r>
    <s v="ALMEYDA PANDURO LIMBER JUAN"/>
    <s v="Casado"/>
    <d v="1978-11-29T00:00:00"/>
    <n v="44"/>
    <x v="2"/>
    <x v="0"/>
    <x v="2"/>
    <n v="1975"/>
    <d v="1899-12-30T07:20:35"/>
    <d v="1899-12-30T17:37:47"/>
    <n v="0"/>
    <x v="1"/>
    <n v="0"/>
    <s v="almeyda.pan1978@miempresa.com"/>
    <x v="1"/>
    <b v="0"/>
    <s v="--"/>
  </r>
  <r>
    <s v="RUIZ PEREZ SILVIO"/>
    <s v="Soltero"/>
    <d v="1981-05-11T00:00:00"/>
    <n v="41"/>
    <x v="8"/>
    <x v="0"/>
    <x v="0"/>
    <n v="2025"/>
    <d v="1899-12-30T07:32:13"/>
    <d v="1899-12-30T18:36:52"/>
    <n v="23371"/>
    <x v="0"/>
    <n v="14"/>
    <s v="ruiz.per1981@miempresa.com"/>
    <x v="0"/>
    <b v="1"/>
    <s v="NO"/>
  </r>
  <r>
    <s v="TUESTA CORDOVA DE PIZARRO MARIA ETELVINA"/>
    <s v="Casado"/>
    <d v="1975-06-20T00:00:00"/>
    <n v="47"/>
    <x v="9"/>
    <x v="2"/>
    <x v="0"/>
    <n v="2225"/>
    <d v="1899-12-30T07:00:06"/>
    <d v="1899-12-30T17:49:40"/>
    <n v="16118"/>
    <x v="1"/>
    <n v="0"/>
    <s v="tuesta.cor1975@miempresa.com"/>
    <x v="4"/>
    <b v="1"/>
    <s v="--"/>
  </r>
  <r>
    <s v="RENGIFO PUGA OFELIA"/>
    <s v="Casado"/>
    <d v="1979-06-09T00:00:00"/>
    <n v="43"/>
    <x v="3"/>
    <x v="0"/>
    <x v="1"/>
    <n v="2375"/>
    <d v="1899-12-30T07:39:01"/>
    <d v="1899-12-30T18:33:22"/>
    <n v="0"/>
    <x v="1"/>
    <n v="0"/>
    <s v="rengifo.pug1979@miempresa.com"/>
    <x v="1"/>
    <b v="1"/>
    <s v="--"/>
  </r>
  <r>
    <s v="GREENWICH PANDURO CLARA ROSA"/>
    <s v="Conviviente"/>
    <d v="1985-02-12T00:00:00"/>
    <n v="38"/>
    <x v="8"/>
    <x v="1"/>
    <x v="1"/>
    <n v="2175"/>
    <d v="1899-12-30T07:29:33"/>
    <d v="1899-12-30T17:25:43"/>
    <n v="0"/>
    <x v="1"/>
    <n v="0"/>
    <s v="greenwich.pan1985@miempresa.com"/>
    <x v="1"/>
    <b v="1"/>
    <s v="--"/>
  </r>
  <r>
    <s v="SALDAÑA PEZO ELIZABETH"/>
    <s v="Soltero"/>
    <d v="1981-06-16T00:00:00"/>
    <n v="41"/>
    <x v="9"/>
    <x v="2"/>
    <x v="2"/>
    <n v="2175"/>
    <d v="1899-12-30T07:36:37"/>
    <d v="1899-12-30T17:57:08"/>
    <n v="0"/>
    <x v="1"/>
    <n v="0"/>
    <s v="saldaña.pez1981@miempresa.com"/>
    <x v="1"/>
    <b v="1"/>
    <s v="--"/>
  </r>
  <r>
    <s v="GUTIERREZ PACAYA CECILIA"/>
    <s v="Casado"/>
    <d v="1974-11-24T00:00:00"/>
    <n v="48"/>
    <x v="0"/>
    <x v="2"/>
    <x v="2"/>
    <n v="2175"/>
    <d v="1899-12-30T07:45:38"/>
    <d v="1899-12-30T17:50:29"/>
    <n v="0"/>
    <x v="1"/>
    <n v="0"/>
    <s v="gutierrez.pac1974@miempresa.com"/>
    <x v="1"/>
    <b v="1"/>
    <s v="--"/>
  </r>
  <r>
    <s v="ECHEVARRIA INGA ROSA MERCEDES"/>
    <s v="Soltero"/>
    <d v="1982-12-07T00:00:00"/>
    <n v="40"/>
    <x v="2"/>
    <x v="0"/>
    <x v="0"/>
    <n v="2025"/>
    <d v="1899-12-30T07:26:59"/>
    <d v="1899-12-30T17:02:32"/>
    <n v="10654"/>
    <x v="1"/>
    <n v="0"/>
    <s v="echevarria.ing1982@miempresa.com"/>
    <x v="3"/>
    <b v="1"/>
    <s v="--"/>
  </r>
  <r>
    <s v="REYNA MELENDEZ JORGE"/>
    <s v="Soltero"/>
    <d v="1977-09-24T00:00:00"/>
    <n v="45"/>
    <x v="9"/>
    <x v="2"/>
    <x v="1"/>
    <n v="2575"/>
    <d v="1899-12-30T07:45:09"/>
    <d v="1899-12-30T17:20:16"/>
    <n v="0"/>
    <x v="0"/>
    <n v="12"/>
    <s v="reyna.mel1977@miempresa.com"/>
    <x v="1"/>
    <b v="1"/>
    <s v="NO"/>
  </r>
  <r>
    <s v="SABOYA TORRES GLADYS"/>
    <s v="Casado"/>
    <d v="1992-12-30T00:00:00"/>
    <n v="30"/>
    <x v="2"/>
    <x v="1"/>
    <x v="1"/>
    <n v="2175"/>
    <d v="1899-12-30T07:37:46"/>
    <d v="1899-12-30T18:10:13"/>
    <n v="0"/>
    <x v="1"/>
    <n v="0"/>
    <s v="saboya.tor1992@miempresa.com"/>
    <x v="1"/>
    <b v="1"/>
    <s v="--"/>
  </r>
  <r>
    <s v="SABOYA TORRES GLADYS"/>
    <s v="Casado"/>
    <d v="1975-12-16T00:00:00"/>
    <n v="47"/>
    <x v="0"/>
    <x v="0"/>
    <x v="0"/>
    <n v="2025"/>
    <d v="1899-12-30T07:36:56"/>
    <d v="1899-12-30T17:36:34"/>
    <n v="15990"/>
    <x v="0"/>
    <n v="4"/>
    <s v="saboya.tor1975@miempresa.com"/>
    <x v="5"/>
    <b v="1"/>
    <s v="SI"/>
  </r>
  <r>
    <s v="VELA DE TORRES MANUELA"/>
    <s v="Conviviente"/>
    <d v="1998-01-12T00:00:00"/>
    <n v="25"/>
    <x v="4"/>
    <x v="0"/>
    <x v="0"/>
    <n v="2025"/>
    <d v="1899-12-30T07:40:54"/>
    <d v="1899-12-30T18:41:02"/>
    <n v="24342"/>
    <x v="1"/>
    <n v="0"/>
    <s v="vela.de 1998@miempresa.com"/>
    <x v="0"/>
    <b v="1"/>
    <s v="--"/>
  </r>
  <r>
    <s v="VASQUEZ MAYORA SABELITH"/>
    <s v="Casado"/>
    <d v="1984-12-02T00:00:00"/>
    <n v="38"/>
    <x v="6"/>
    <x v="0"/>
    <x v="2"/>
    <n v="1975"/>
    <d v="1899-12-30T07:00:19"/>
    <d v="1899-12-30T18:46:17"/>
    <n v="0"/>
    <x v="1"/>
    <n v="0"/>
    <s v="vasquez.may1984@miempresa.com"/>
    <x v="1"/>
    <b v="0"/>
    <s v="--"/>
  </r>
  <r>
    <s v="QUIROZ MONCADA JOSE ADELMO"/>
    <s v="Casado"/>
    <d v="1988-02-08T00:00:00"/>
    <n v="35"/>
    <x v="2"/>
    <x v="1"/>
    <x v="1"/>
    <n v="2175"/>
    <d v="1899-12-30T07:39:29"/>
    <d v="1899-12-30T18:43:36"/>
    <n v="0"/>
    <x v="1"/>
    <n v="0"/>
    <s v="quiroz.mon1988@miempresa.com"/>
    <x v="1"/>
    <b v="1"/>
    <s v="--"/>
  </r>
  <r>
    <s v="SANCHEZ RIOS ERMITA"/>
    <s v="Conviviente"/>
    <d v="1987-03-11T00:00:00"/>
    <n v="36"/>
    <x v="9"/>
    <x v="0"/>
    <x v="2"/>
    <n v="1975"/>
    <d v="1899-12-30T07:52:38"/>
    <d v="1899-12-30T17:20:33"/>
    <n v="0"/>
    <x v="1"/>
    <n v="0"/>
    <s v="sanchez.rio1987@miempresa.com"/>
    <x v="1"/>
    <b v="0"/>
    <s v="--"/>
  </r>
  <r>
    <s v="RIOS PAREDES EDINSON"/>
    <s v="Soltero"/>
    <d v="1988-09-09T00:00:00"/>
    <n v="34"/>
    <x v="6"/>
    <x v="0"/>
    <x v="1"/>
    <n v="2375"/>
    <d v="1899-12-30T07:19:04"/>
    <d v="1899-12-30T19:26:19"/>
    <n v="0"/>
    <x v="0"/>
    <n v="6"/>
    <s v="rios.par1988@miempresa.com"/>
    <x v="1"/>
    <b v="1"/>
    <s v="SI"/>
  </r>
  <r>
    <s v="RIOS LAYCHE NORA INES"/>
    <s v="Soltero"/>
    <d v="1995-11-28T00:00:00"/>
    <n v="27"/>
    <x v="4"/>
    <x v="2"/>
    <x v="0"/>
    <n v="2225"/>
    <d v="1899-12-30T07:06:13"/>
    <d v="1899-12-30T18:46:25"/>
    <n v="18025"/>
    <x v="0"/>
    <n v="2"/>
    <s v="rios.lay1995@miempresa.com"/>
    <x v="4"/>
    <b v="1"/>
    <s v="SI"/>
  </r>
  <r>
    <s v="CHOY SANCHEZ RAMIREZ KATTY ESTHER"/>
    <s v="Soltero"/>
    <d v="1987-10-01T00:00:00"/>
    <n v="35"/>
    <x v="5"/>
    <x v="1"/>
    <x v="0"/>
    <n v="1825"/>
    <d v="1899-12-30T07:18:09"/>
    <d v="1899-12-30T18:57:18"/>
    <n v="22276"/>
    <x v="1"/>
    <n v="0"/>
    <s v="choy.san1987@miempresa.com"/>
    <x v="0"/>
    <b v="1"/>
    <s v="--"/>
  </r>
  <r>
    <s v="SANCHEZ DE SANDOVAL EDITH ANTONIA"/>
    <s v="Soltero"/>
    <d v="1985-11-02T00:00:00"/>
    <n v="37"/>
    <x v="2"/>
    <x v="0"/>
    <x v="0"/>
    <n v="2025"/>
    <d v="1899-12-30T07:27:49"/>
    <d v="1899-12-30T17:28:03"/>
    <n v="14450"/>
    <x v="1"/>
    <n v="0"/>
    <s v="sanchez.de 1985@miempresa.com"/>
    <x v="5"/>
    <b v="1"/>
    <s v="--"/>
  </r>
  <r>
    <s v="SANCHEZ DE SANDOVAL EDITH ANTONIA"/>
    <s v="Casado"/>
    <d v="1976-06-12T00:00:00"/>
    <n v="46"/>
    <x v="2"/>
    <x v="2"/>
    <x v="1"/>
    <n v="2575"/>
    <d v="1899-12-30T07:00:57"/>
    <d v="1899-12-30T17:10:14"/>
    <n v="0"/>
    <x v="0"/>
    <n v="10"/>
    <s v="sanchez.de 1976@miempresa.com"/>
    <x v="1"/>
    <b v="1"/>
    <s v="SI"/>
  </r>
  <r>
    <s v="OZAMBELA GOMEZ LLENY LISBETH"/>
    <s v="Soltero"/>
    <d v="1980-08-12T00:00:00"/>
    <n v="42"/>
    <x v="2"/>
    <x v="2"/>
    <x v="1"/>
    <n v="2575"/>
    <d v="1899-12-30T07:36:39"/>
    <d v="1899-12-30T19:27:21"/>
    <n v="0"/>
    <x v="1"/>
    <n v="0"/>
    <s v="ozambela.gom1980@miempresa.com"/>
    <x v="1"/>
    <b v="1"/>
    <s v="--"/>
  </r>
  <r>
    <s v="PEREYRA RUIZ GINA LUCY"/>
    <s v="Casado"/>
    <d v="1979-09-04T00:00:00"/>
    <n v="43"/>
    <x v="3"/>
    <x v="1"/>
    <x v="2"/>
    <n v="1775"/>
    <d v="1899-12-30T07:50:58"/>
    <d v="1899-12-30T17:53:03"/>
    <n v="0"/>
    <x v="1"/>
    <n v="0"/>
    <s v="pereyra.rui1979@miempresa.com"/>
    <x v="1"/>
    <b v="0"/>
    <s v="--"/>
  </r>
  <r>
    <s v="MONDRAGON INGA ANDERSON"/>
    <s v="Soltero"/>
    <d v="1986-07-30T00:00:00"/>
    <n v="36"/>
    <x v="3"/>
    <x v="1"/>
    <x v="1"/>
    <n v="2175"/>
    <d v="1899-12-30T07:41:04"/>
    <d v="1899-12-30T19:29:55"/>
    <n v="0"/>
    <x v="0"/>
    <n v="14"/>
    <s v="mondragon.ing1986@miempresa.com"/>
    <x v="1"/>
    <b v="1"/>
    <s v="NO"/>
  </r>
  <r>
    <s v="MOGROVEJO DIAZ YSABEL"/>
    <s v="Soltero"/>
    <d v="1983-04-09T00:00:00"/>
    <n v="40"/>
    <x v="4"/>
    <x v="0"/>
    <x v="2"/>
    <n v="1975"/>
    <d v="1899-12-30T07:57:37"/>
    <d v="1899-12-30T18:33:47"/>
    <n v="0"/>
    <x v="0"/>
    <n v="6"/>
    <s v="mogrovejo.dia1983@miempresa.com"/>
    <x v="1"/>
    <b v="0"/>
    <s v="SI"/>
  </r>
  <r>
    <s v="GARCIA GARCIA LEYLY"/>
    <s v="Conviviente"/>
    <d v="1995-10-16T00:00:00"/>
    <n v="27"/>
    <x v="9"/>
    <x v="1"/>
    <x v="0"/>
    <n v="1825"/>
    <d v="1899-12-30T07:34:59"/>
    <d v="1899-12-30T17:51:20"/>
    <n v="10052"/>
    <x v="1"/>
    <n v="0"/>
    <s v="garcia.gar1995@miempresa.com"/>
    <x v="3"/>
    <b v="1"/>
    <s v="--"/>
  </r>
  <r>
    <s v="VELA RAMIREZ MARIA GLORIOSA"/>
    <s v="Conviviente"/>
    <d v="1998-11-06T00:00:00"/>
    <n v="24"/>
    <x v="0"/>
    <x v="1"/>
    <x v="1"/>
    <n v="2175"/>
    <d v="1899-12-30T07:01:25"/>
    <d v="1899-12-30T19:05:15"/>
    <n v="0"/>
    <x v="1"/>
    <n v="0"/>
    <s v="vela.ram1998@miempresa.com"/>
    <x v="1"/>
    <b v="1"/>
    <s v="--"/>
  </r>
  <r>
    <s v="AREVALO ACOSTA ANTONIETA"/>
    <s v="Casado"/>
    <d v="1994-01-16T00:00:00"/>
    <n v="29"/>
    <x v="2"/>
    <x v="2"/>
    <x v="2"/>
    <n v="2175"/>
    <d v="1899-12-30T07:53:35"/>
    <d v="1899-12-30T19:01:04"/>
    <n v="0"/>
    <x v="1"/>
    <n v="0"/>
    <s v="arevalo.aco1994@miempresa.com"/>
    <x v="1"/>
    <b v="1"/>
    <s v="--"/>
  </r>
  <r>
    <s v="MENDOZA CARLOS LEOCADIA"/>
    <s v="Soltero"/>
    <d v="1996-08-02T00:00:00"/>
    <n v="26"/>
    <x v="6"/>
    <x v="2"/>
    <x v="0"/>
    <n v="2225"/>
    <d v="1899-12-30T07:38:11"/>
    <d v="1899-12-30T17:35:15"/>
    <n v="20481"/>
    <x v="0"/>
    <n v="4"/>
    <s v="mendoza.car1996@miempresa.com"/>
    <x v="2"/>
    <b v="1"/>
    <s v="SI"/>
  </r>
  <r>
    <s v="RUIZ CAHUAZA BLANCA LUZMILA"/>
    <s v="Soltero"/>
    <d v="1996-12-27T00:00:00"/>
    <n v="26"/>
    <x v="9"/>
    <x v="0"/>
    <x v="1"/>
    <n v="2375"/>
    <d v="1899-12-30T07:49:47"/>
    <d v="1899-12-30T17:26:39"/>
    <n v="0"/>
    <x v="0"/>
    <n v="10"/>
    <s v="ruiz.cah1996@miempresa.com"/>
    <x v="1"/>
    <b v="1"/>
    <s v="SI"/>
  </r>
  <r>
    <s v="VARGAS VALDIVIA AIDA LUZ"/>
    <s v="Soltero"/>
    <d v="1973-02-23T00:00:00"/>
    <n v="50"/>
    <x v="7"/>
    <x v="1"/>
    <x v="2"/>
    <n v="1775"/>
    <d v="1899-12-30T07:30:44"/>
    <d v="1899-12-30T18:41:11"/>
    <n v="0"/>
    <x v="0"/>
    <n v="1"/>
    <s v="vargas.val1973@miempresa.com"/>
    <x v="1"/>
    <b v="0"/>
    <s v="SI"/>
  </r>
  <r>
    <s v="SABOYA RUIZ LLENSI"/>
    <s v="Conviviente"/>
    <d v="1995-05-22T00:00:00"/>
    <n v="27"/>
    <x v="6"/>
    <x v="1"/>
    <x v="0"/>
    <n v="1825"/>
    <d v="1899-12-30T07:03:42"/>
    <d v="1899-12-30T17:22:01"/>
    <n v="20468"/>
    <x v="0"/>
    <n v="3"/>
    <s v="saboya.rui1995@miempresa.com"/>
    <x v="2"/>
    <b v="1"/>
    <s v="SI"/>
  </r>
  <r>
    <s v="GUERREIRO RAMIREZ ROBERTO FERNANDO"/>
    <s v="Casado"/>
    <d v="1991-05-22T00:00:00"/>
    <n v="31"/>
    <x v="3"/>
    <x v="2"/>
    <x v="2"/>
    <n v="2175"/>
    <d v="1899-12-30T07:23:52"/>
    <d v="1899-12-30T18:39:14"/>
    <n v="0"/>
    <x v="1"/>
    <n v="0"/>
    <s v="guerreiro.ram1991@miempresa.com"/>
    <x v="1"/>
    <b v="1"/>
    <s v="--"/>
  </r>
  <r>
    <s v="MUÑOZ ZUÑIGA ROMEL"/>
    <s v="Conviviente"/>
    <d v="1973-06-26T00:00:00"/>
    <n v="49"/>
    <x v="0"/>
    <x v="0"/>
    <x v="0"/>
    <n v="2025"/>
    <d v="1899-12-30T07:12:07"/>
    <d v="1899-12-30T18:32:01"/>
    <n v="24336"/>
    <x v="0"/>
    <n v="1"/>
    <s v="muñoz.zuñ1973@miempresa.com"/>
    <x v="0"/>
    <b v="1"/>
    <s v="SI"/>
  </r>
  <r>
    <s v="MONCADA GONZALEZ FELIPE"/>
    <s v="Casado"/>
    <d v="1991-01-12T00:00:00"/>
    <n v="32"/>
    <x v="5"/>
    <x v="2"/>
    <x v="0"/>
    <n v="2225"/>
    <d v="1899-12-30T07:11:53"/>
    <d v="1899-12-30T19:19:09"/>
    <n v="19141"/>
    <x v="1"/>
    <n v="0"/>
    <s v="moncada.gon1991@miempresa.com"/>
    <x v="2"/>
    <b v="1"/>
    <s v="--"/>
  </r>
  <r>
    <s v="MENDOZA VIDALON MARIA CARINA"/>
    <s v="Casado"/>
    <d v="1985-02-23T00:00:00"/>
    <n v="38"/>
    <x v="1"/>
    <x v="0"/>
    <x v="0"/>
    <n v="2025"/>
    <d v="1899-12-30T07:47:44"/>
    <d v="1899-12-30T17:23:27"/>
    <n v="13199"/>
    <x v="0"/>
    <n v="1"/>
    <s v="mendoza.vid1985@miempresa.com"/>
    <x v="5"/>
    <b v="1"/>
    <s v="SI"/>
  </r>
  <r>
    <s v="MENDOZA VIDALON MARIA CARINA"/>
    <s v="Soltero"/>
    <d v="1977-09-21T00:00:00"/>
    <n v="45"/>
    <x v="1"/>
    <x v="2"/>
    <x v="1"/>
    <n v="2575"/>
    <d v="1899-12-30T07:42:47"/>
    <d v="1899-12-30T17:20:54"/>
    <n v="0"/>
    <x v="0"/>
    <n v="10"/>
    <s v="mendoza.vid1977@miempresa.com"/>
    <x v="1"/>
    <b v="1"/>
    <s v="SI"/>
  </r>
  <r>
    <s v="TUESTA SORIA PATRICIA DEL PILAR"/>
    <s v="Soltero"/>
    <d v="1992-07-29T00:00:00"/>
    <n v="30"/>
    <x v="3"/>
    <x v="0"/>
    <x v="0"/>
    <n v="2025"/>
    <d v="1899-12-30T07:06:21"/>
    <d v="1899-12-30T17:29:09"/>
    <n v="20395"/>
    <x v="1"/>
    <n v="0"/>
    <s v="tuesta.sor1992@miempresa.com"/>
    <x v="2"/>
    <b v="1"/>
    <s v="--"/>
  </r>
  <r>
    <s v="LOZANO CARDENAS MERSEDES"/>
    <s v="Soltero"/>
    <d v="1998-08-30T00:00:00"/>
    <n v="24"/>
    <x v="8"/>
    <x v="2"/>
    <x v="1"/>
    <n v="2575"/>
    <d v="1899-12-30T07:18:48"/>
    <d v="1899-12-30T18:36:11"/>
    <n v="0"/>
    <x v="1"/>
    <n v="0"/>
    <s v="lozano.car1998@miempresa.com"/>
    <x v="1"/>
    <b v="1"/>
    <s v="--"/>
  </r>
  <r>
    <s v="YSUIZA AGUILERA SONIA"/>
    <s v="Soltero"/>
    <d v="1995-10-30T00:00:00"/>
    <n v="27"/>
    <x v="8"/>
    <x v="1"/>
    <x v="2"/>
    <n v="1775"/>
    <d v="1899-12-30T07:10:08"/>
    <d v="1899-12-30T19:19:14"/>
    <n v="0"/>
    <x v="1"/>
    <n v="0"/>
    <s v="ysuiza.agu1995@miempresa.com"/>
    <x v="1"/>
    <b v="0"/>
    <s v="--"/>
  </r>
  <r>
    <s v="ORTIZ PAIMA DE GONZALES CARMEN"/>
    <s v="Casado"/>
    <d v="1989-08-05T00:00:00"/>
    <n v="33"/>
    <x v="1"/>
    <x v="0"/>
    <x v="0"/>
    <n v="2025"/>
    <d v="1899-12-30T07:11:01"/>
    <d v="1899-12-30T17:02:13"/>
    <n v="14190"/>
    <x v="1"/>
    <n v="0"/>
    <s v="ortiz.pai1989@miempresa.com"/>
    <x v="5"/>
    <b v="1"/>
    <s v="--"/>
  </r>
  <r>
    <s v="VELASCO AGUILAR ANGELICA YSABEL"/>
    <s v="Conviviente"/>
    <d v="1979-01-10T00:00:00"/>
    <n v="44"/>
    <x v="9"/>
    <x v="2"/>
    <x v="0"/>
    <n v="2225"/>
    <d v="1899-12-30T07:36:50"/>
    <d v="1899-12-30T17:36:29"/>
    <n v="11382"/>
    <x v="0"/>
    <n v="14"/>
    <s v="velasco.agu1979@miempresa.com"/>
    <x v="3"/>
    <b v="1"/>
    <s v="NO"/>
  </r>
  <r>
    <s v="VARGAS ACHO GUIMO"/>
    <s v="Casado"/>
    <d v="1984-04-25T00:00:00"/>
    <n v="39"/>
    <x v="2"/>
    <x v="0"/>
    <x v="0"/>
    <n v="2025"/>
    <d v="1899-12-30T07:22:12"/>
    <d v="1899-12-30T18:55:05"/>
    <n v="21469"/>
    <x v="0"/>
    <n v="10"/>
    <s v="vargas.ach1984@miempresa.com"/>
    <x v="2"/>
    <b v="1"/>
    <s v="SI"/>
  </r>
  <r>
    <s v="SANCHEZ GUTIERREZ ELITA"/>
    <s v="Soltero"/>
    <d v="1972-12-25T00:00:00"/>
    <n v="50"/>
    <x v="6"/>
    <x v="2"/>
    <x v="1"/>
    <n v="2575"/>
    <d v="1899-12-30T07:42:29"/>
    <d v="1899-12-30T17:41:45"/>
    <n v="0"/>
    <x v="1"/>
    <n v="0"/>
    <s v="sanchez.gut1972@miempresa.com"/>
    <x v="1"/>
    <b v="1"/>
    <s v="-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3354-A64A-43DF-A0C0-918C0F428A3C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5:E40" firstHeaderRow="1" firstDataRow="2" firstDataCol="1"/>
  <pivotFields count="13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numFmtId="164" showAll="0"/>
    <pivotField numFmtId="165" showAll="0"/>
    <pivotField numFmtId="165" showAll="0"/>
    <pivotField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a de SUELDO" fld="7" baseField="0" baseItem="0"/>
  </dataFields>
  <formats count="22">
    <format dxfId="40">
      <pivotArea dataOnly="0" labelOnly="1" fieldPosition="0">
        <references count="1">
          <reference field="6" count="1">
            <x v="0"/>
          </reference>
        </references>
      </pivotArea>
    </format>
    <format dxfId="39">
      <pivotArea dataOnly="0" labelOnly="1" fieldPosition="0">
        <references count="1">
          <reference field="6" count="1">
            <x v="1"/>
          </reference>
        </references>
      </pivotArea>
    </format>
    <format dxfId="38">
      <pivotArea dataOnly="0" labelOnly="1" fieldPosition="0">
        <references count="1">
          <reference field="6" count="1">
            <x v="2"/>
          </reference>
        </references>
      </pivotArea>
    </format>
    <format dxfId="37">
      <pivotArea dataOnly="0" labelOnly="1" grandCol="1" outline="0" fieldPosition="0"/>
    </format>
    <format dxfId="36">
      <pivotArea collapsedLevelsAreSubtotals="1" fieldPosition="0">
        <references count="2">
          <reference field="5" count="0"/>
          <reference field="6" count="1" selected="0">
            <x v="0"/>
          </reference>
        </references>
      </pivotArea>
    </format>
    <format dxfId="35">
      <pivotArea collapsedLevelsAreSubtotals="1" fieldPosition="0">
        <references count="2">
          <reference field="5" count="0"/>
          <reference field="6" count="1" selected="0">
            <x v="1"/>
          </reference>
        </references>
      </pivotArea>
    </format>
    <format dxfId="34">
      <pivotArea collapsedLevelsAreSubtotals="1" fieldPosition="0">
        <references count="2">
          <reference field="5" count="0"/>
          <reference field="6" count="1" selected="0">
            <x v="2"/>
          </reference>
        </references>
      </pivotArea>
    </format>
    <format dxfId="33">
      <pivotArea field="5" grandCol="1" collapsedLevelsAreSubtotals="1" axis="axisRow" fieldPosition="0">
        <references count="1">
          <reference field="5" count="0"/>
        </references>
      </pivotArea>
    </format>
    <format dxfId="32">
      <pivotArea field="6" grandRow="1" outline="0" collapsedLevelsAreSubtotals="1" axis="axisCol" fieldPosition="0">
        <references count="1">
          <reference field="6" count="1" selected="0">
            <x v="0"/>
          </reference>
        </references>
      </pivotArea>
    </format>
    <format dxfId="31">
      <pivotArea field="6" grandRow="1" outline="0" collapsedLevelsAreSubtotals="1" axis="axisCol" fieldPosition="0">
        <references count="1">
          <reference field="6" count="1" selected="0">
            <x v="1"/>
          </reference>
        </references>
      </pivotArea>
    </format>
    <format dxfId="30">
      <pivotArea field="6" grandRow="1" outline="0" collapsedLevelsAreSubtotals="1" axis="axisCol" fieldPosition="0">
        <references count="1">
          <reference field="6" count="1" selected="0">
            <x v="2"/>
          </reference>
        </references>
      </pivotArea>
    </format>
    <format dxfId="29">
      <pivotArea grandRow="1" grandCol="1"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6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1A777-2FD7-4844-B7E9-642F58881C6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0:B24" firstHeaderRow="1" firstDataRow="1" firstDataCol="1"/>
  <pivotFields count="13">
    <pivotField dataField="1"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úmero de trabajadores" fld="0" subtotal="count" baseField="6" baseItem="0"/>
  </dataFields>
  <formats count="9">
    <format dxfId="49">
      <pivotArea dataOnly="0" labelOnly="1" outline="0" axis="axisValues" fieldPosition="0"/>
    </format>
    <format dxfId="48">
      <pivotArea collapsedLevelsAreSubtotals="1" fieldPosition="0">
        <references count="1">
          <reference field="6" count="0"/>
        </references>
      </pivotArea>
    </format>
    <format dxfId="47">
      <pivotArea grandRow="1"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6" type="button" dataOnly="0" labelOnly="1" outline="0" axis="axisRow" fieldPosition="0"/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D57E6-1379-4389-8D70-D6EE1637860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13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/>
    <pivotField showAll="0"/>
    <pivotField dataField="1" numFmtId="164" showAll="0"/>
    <pivotField numFmtId="165" showAll="0"/>
    <pivotField numFmtId="165" showAll="0"/>
    <pivotField numFmtId="164"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SUELDO" fld="7" baseField="0" baseItem="0"/>
  </dataFields>
  <formats count="9">
    <format dxfId="58">
      <pivotArea dataOnly="0" labelOnly="1" outline="0" axis="axisValues" fieldPosition="0"/>
    </format>
    <format dxfId="57">
      <pivotArea collapsedLevelsAreSubtotals="1" fieldPosition="0">
        <references count="1">
          <reference field="4" count="0"/>
        </references>
      </pivotArea>
    </format>
    <format dxfId="56">
      <pivotArea grandRow="1"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ACFD5-3D65-4469-B69D-72421974D292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52:B59" firstHeaderRow="1" firstDataRow="1" firstDataCol="1"/>
  <pivotFields count="13">
    <pivotField dataField="1" showAll="0"/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numFmtId="164" showAll="0"/>
    <pivotField numFmtId="165" showAll="0"/>
    <pivotField numFmtId="165" showAll="0"/>
    <pivotField numFmtId="164"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úmero de trabajadores" fld="0" subtotal="count" baseField="0" baseItem="0"/>
  </dataFields>
  <formats count="13">
    <format dxfId="71">
      <pivotArea collapsedLevelsAreSubtotals="1" fieldPosition="0">
        <references count="1">
          <reference field="3" count="6">
            <x v="1"/>
            <x v="2"/>
            <x v="3"/>
            <x v="4"/>
            <x v="5"/>
            <x v="6"/>
          </reference>
        </references>
      </pivotArea>
    </format>
    <format dxfId="70">
      <pivotArea grandRow="1" outline="0" collapsedLevelsAreSubtotals="1" fieldPosition="0"/>
    </format>
    <format dxfId="69">
      <pivotArea dataOnly="0" fieldPosition="0">
        <references count="1">
          <reference field="3" count="1">
            <x v="1"/>
          </reference>
        </references>
      </pivotArea>
    </format>
    <format dxfId="68">
      <pivotArea dataOnly="0" fieldPosition="0">
        <references count="1">
          <reference field="3" count="1">
            <x v="2"/>
          </reference>
        </references>
      </pivotArea>
    </format>
    <format dxfId="67">
      <pivotArea dataOnly="0" fieldPosition="0">
        <references count="1">
          <reference field="3" count="2">
            <x v="3"/>
            <x v="4"/>
          </reference>
        </references>
      </pivotArea>
    </format>
    <format dxfId="66">
      <pivotArea dataOnly="0" fieldPosition="0">
        <references count="1">
          <reference field="3" count="1">
            <x v="5"/>
          </reference>
        </references>
      </pivotArea>
    </format>
    <format dxfId="65">
      <pivotArea dataOnly="0" fieldPosition="0">
        <references count="1">
          <reference field="3" count="1">
            <x v="6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3" type="button" dataOnly="0" labelOnly="1" outline="0" axis="axisRow" fieldPosition="0"/>
    </format>
    <format dxfId="61">
      <pivotArea dataOnly="0" labelOnly="1" fieldPosition="0">
        <references count="1">
          <reference field="3" count="6">
            <x v="1"/>
            <x v="2"/>
            <x v="3"/>
            <x v="4"/>
            <x v="5"/>
            <x v="6"/>
          </reference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76308-459B-45C7-A42F-4BBCC3BE728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Distrito">
  <location ref="A4:B15" firstHeaderRow="1" firstDataRow="1" firstDataCol="1"/>
  <pivotFields count="17">
    <pivotField dataField="1" showAll="0"/>
    <pivotField showAll="0"/>
    <pivotField numFmtId="14" showAll="0"/>
    <pivotField showAll="0"/>
    <pivotField axis="axisRow"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° de empleados" fld="0" subtotal="count" baseField="4" baseItem="0"/>
  </dataFields>
  <chartFormats count="11"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3C927-D65A-4894-BA99-53D171CEF209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Categoría ventas">
  <location ref="J4:K10" firstHeaderRow="1" firstDataRow="1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  <pivotField showAll="0"/>
    <pivotField axis="axisRow" showAll="0">
      <items count="7">
        <item h="1" x="1"/>
        <item x="2"/>
        <item x="0"/>
        <item x="5"/>
        <item x="3"/>
        <item x="4"/>
        <item t="default"/>
      </items>
    </pivotField>
    <pivotField showAll="0"/>
    <pivotField showAll="0"/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° de empleados" fld="0" subtotal="count" baseField="14" baseItem="1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6AF8A-C69D-4B4E-8BB1-FD36D2523E1A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F25:I30" firstHeaderRow="1" firstDataRow="2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N° EMPLEADOS POSITIVOS AL COVID 19 POR TIPO DE EMPLEADO" fld="0" subtotal="count" baseField="0" baseItem="0"/>
  </dataFields>
  <chartFormats count="3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FBB8E-65BA-4010-A649-907C46EA38D8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empleado">
  <location ref="G11:H15" firstHeaderRow="1" firstDataRow="1" firstDataCol="1"/>
  <pivotFields count="17">
    <pivotField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UELDO" fld="7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C5435-2955-4332-A270-85D273572501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rgo">
  <location ref="G4:H8" firstHeaderRow="1" firstDataRow="1" firstDataCol="1"/>
  <pivotFields count="17">
    <pivotField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UELDO" fld="7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619B4-57A2-4F07-951D-BB740415D7EE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F18:I23" firstHeaderRow="1" firstDataRow="2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N° EMPLEADOS POSITIVOS AL COVID 19 POR CARGO" fld="0" subtotal="count" baseField="0" baseItem="0"/>
  </dataFields>
  <chartFormats count="3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4C2DB-B8CA-40CD-827B-A9D67A6C4FE9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Tipo de empleado">
  <location ref="D11:E15" firstHeaderRow="1" firstDataRow="1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° de empleados" fld="0" subtotal="count" baseField="5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A1290-4B85-473F-AA96-501A436B96A9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8:D30" firstHeaderRow="1" firstDataRow="2" firstDataCol="1"/>
  <pivotFields count="17">
    <pivotField dataField="1" showAll="0"/>
    <pivotField showAll="0"/>
    <pivotField numFmtId="14" showAll="0"/>
    <pivotField showAll="0"/>
    <pivotField axis="axisRow"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N° EMPLEADOS POSITIVOS AL COVID 19 POR DISTRITO" fld="0" subtotal="count" baseField="0" baseItem="0"/>
  </dataFields>
  <chartFormats count="3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E7EC2-A1BA-405D-B209-BD1926AAE58F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argo">
  <location ref="D4:E8" firstHeaderRow="1" firstDataRow="1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° de empleados" fld="0" subtotal="count" baseField="6" baseItem="0"/>
  </dataField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46A05-2534-4C3F-A8A4-44E6C1CC6D99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ositivo al Covid 19">
  <location ref="J12:K15" firstHeaderRow="1" firstDataRow="1" firstDataCol="1"/>
  <pivotFields count="17">
    <pivotField dataField="1"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N° de empleados" fld="0" subtotal="count" baseField="11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80100-EFA7-4C7E-A012-0B49EDF5B090}" name="Tabla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1:K22" firstHeaderRow="1" firstDataRow="1" firstDataCol="0"/>
  <pivotFields count="17">
    <pivotField showAll="0"/>
    <pivotField showAll="0"/>
    <pivotField numFmtId="14" showAll="0"/>
    <pivotField dataField="1"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romedio de EDAD" fld="3" subtotal="average" baseField="0" baseItem="9" numFmtId="1"/>
  </dataFields>
  <formats count="1">
    <format dxfId="0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892F2-570B-4CAD-8383-3EBA59898424}" name="Tabla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8:K19" firstHeaderRow="1" firstDataRow="1" firstDataCol="0"/>
  <pivotFields count="17">
    <pivotField showAll="0"/>
    <pivotField showAll="0"/>
    <pivotField numFmtId="14" showAll="0"/>
    <pivotField showAll="0"/>
    <pivotField showAll="0">
      <items count="11">
        <item x="4"/>
        <item x="2"/>
        <item x="0"/>
        <item x="5"/>
        <item x="1"/>
        <item x="7"/>
        <item x="3"/>
        <item x="6"/>
        <item x="9"/>
        <item x="8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64" showAll="0"/>
    <pivotField numFmtId="165"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romedio de SUELDO" fld="7" subtotal="average" baseField="0" baseItem="9" numFmtId="2"/>
  </dataFields>
  <formats count="15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EMPLEADO" xr10:uid="{8BEDCC47-CF22-4FF1-8D33-451490017C80}" sourceName="TIPO DE EMPLEADO">
  <pivotTables>
    <pivotTable tabId="5" name="TablaDinámica2"/>
  </pivotTables>
  <data>
    <tabular pivotCacheId="563504372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EMPLEADO1" xr10:uid="{ED5B77EC-B0AB-4E4E-873E-534A42F74314}" sourceName="TIPO DE EMPLEADO">
  <pivotTables>
    <pivotTable tabId="7" name="TablaDinámica4"/>
    <pivotTable tabId="7" name="TablaDinámica10"/>
    <pivotTable tabId="7" name="TablaDinámica11"/>
    <pivotTable tabId="7" name="TablaDinámica12"/>
    <pivotTable tabId="7" name="TablaDinámica13"/>
    <pivotTable tabId="7" name="TablaDinámica14"/>
    <pivotTable tabId="7" name="TablaDinámica2"/>
    <pivotTable tabId="7" name="TablaDinámica3"/>
    <pivotTable tabId="7" name="TablaDinámica5"/>
    <pivotTable tabId="7" name="TablaDinámica6"/>
    <pivotTable tabId="7" name="TablaDinámica7"/>
    <pivotTable tabId="7" name="TablaDinámica8"/>
  </pivotTables>
  <data>
    <tabular pivotCacheId="178413476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GO" xr10:uid="{E281030C-944A-48D4-84C9-5ED699855250}" sourceName="CARGO">
  <pivotTables>
    <pivotTable tabId="7" name="TablaDinámica4"/>
    <pivotTable tabId="7" name="TablaDinámica10"/>
    <pivotTable tabId="7" name="TablaDinámica11"/>
    <pivotTable tabId="7" name="TablaDinámica12"/>
    <pivotTable tabId="7" name="TablaDinámica13"/>
    <pivotTable tabId="7" name="TablaDinámica14"/>
    <pivotTable tabId="7" name="TablaDinámica2"/>
    <pivotTable tabId="7" name="TablaDinámica3"/>
    <pivotTable tabId="7" name="TablaDinámica5"/>
    <pivotTable tabId="7" name="TablaDinámica6"/>
    <pivotTable tabId="7" name="TablaDinámica8"/>
  </pivotTables>
  <data>
    <tabular pivotCacheId="1784134767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STRITO" xr10:uid="{5040AB2A-A655-402B-91BA-615120361A72}" sourceName="DISTRITO">
  <pivotTables>
    <pivotTable tabId="7" name="TablaDinámica2"/>
    <pivotTable tabId="7" name="TablaDinámica10"/>
    <pivotTable tabId="7" name="TablaDinámica11"/>
    <pivotTable tabId="7" name="TablaDinámica12"/>
    <pivotTable tabId="7" name="TablaDinámica13"/>
    <pivotTable tabId="7" name="TablaDinámica14"/>
    <pivotTable tabId="7" name="TablaDinámica3"/>
    <pivotTable tabId="7" name="TablaDinámica4"/>
    <pivotTable tabId="7" name="TablaDinámica5"/>
    <pivotTable tabId="7" name="TablaDinámica6"/>
    <pivotTable tabId="7" name="TablaDinámica7"/>
    <pivotTable tabId="7" name="TablaDinámica8"/>
  </pivotTables>
  <data>
    <tabular pivotCacheId="1784134767">
      <items count="10">
        <i x="4" s="1"/>
        <i x="2" s="1"/>
        <i x="0" s="1"/>
        <i x="5" s="1"/>
        <i x="1" s="1"/>
        <i x="7" s="1"/>
        <i x="3" s="1"/>
        <i x="6" s="1"/>
        <i x="9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EMPLEADO" xr10:uid="{8BD5C7A1-9362-4B96-A43C-306DF994A4FD}" cache="SegmentaciónDeDatos_TIPO_DE_EMPLEADO" caption="TIPO DE EMPLEAD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EMPLEADO 1" xr10:uid="{DAC43984-BE2A-4096-BBCD-EE961B652863}" cache="SegmentaciónDeDatos_TIPO_DE_EMPLEADO1" caption="TIPO DE EMPLEADO" style="SlicerStyleLight5" rowHeight="241300"/>
  <slicer name="CARGO" xr10:uid="{A2A5A216-9BFB-4977-B33E-EE6C1D3A4700}" cache="SegmentaciónDeDatos_CARGO" caption="CARGO" style="SlicerStyleLight5" rowHeight="241300"/>
  <slicer name="DISTRITO" xr10:uid="{97B30BDD-A048-4DA2-86D2-E141FA8F7103}" cache="SegmentaciónDeDatos_DISTRITO" caption="DISTRITO" style="SlicerStyleLight5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1816B-DF61-43D2-B8FF-3BF6676C2BCD}" name="Tabla1" displayName="Tabla1" ref="A106:B118" totalsRowShown="0" headerRowDxfId="96" headerRowBorderDxfId="95" tableBorderDxfId="94">
  <autoFilter ref="A106:B118" xr:uid="{0BF1816B-DF61-43D2-B8FF-3BF6676C2BCD}">
    <filterColumn colId="0" hiddenButton="1"/>
    <filterColumn colId="1" hiddenButton="1"/>
  </autoFilter>
  <tableColumns count="2">
    <tableColumn id="1" xr3:uid="{83A794D3-E052-41BF-A494-6364810A011E}" name="ESTADÍSTICAS" dataDxfId="93"/>
    <tableColumn id="2" xr3:uid="{EEDE8962-AF28-4567-BD21-12C54F79635D}" name="RESULTADO" dataDxfId="9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B7C23-1DE6-41CB-978D-743DEA7C5323}" name="Tabla2" displayName="Tabla2" ref="A1:Q101" totalsRowShown="0" headerRowDxfId="91" headerRowBorderDxfId="90" tableBorderDxfId="89">
  <autoFilter ref="A1:Q101" xr:uid="{EBAB7C23-1DE6-41CB-978D-743DEA7C5323}"/>
  <tableColumns count="17">
    <tableColumn id="1" xr3:uid="{48A33011-7B5C-4509-BFFA-128CF7601870}" name="NOMBRE" dataDxfId="88"/>
    <tableColumn id="2" xr3:uid="{2FF06F00-F2F9-47D8-8F19-18A1C5D16088}" name="ESTADO CIVIL" dataDxfId="87"/>
    <tableColumn id="3" xr3:uid="{4AA97689-DA7C-4974-9CE1-68DCD8D89869}" name="FECHA DE NACIMIENTO" dataDxfId="86"/>
    <tableColumn id="4" xr3:uid="{18116FAC-1956-4DD3-8C95-3759FDFDD820}" name="EDAD" dataDxfId="85"/>
    <tableColumn id="5" xr3:uid="{BEDB2358-8740-4DAD-A151-E2399F50486F}" name="DISTRITO" dataDxfId="84"/>
    <tableColumn id="6" xr3:uid="{4EE257C9-3216-44D8-BE32-EA75DBF6C923}" name="TIPO DE EMPLEADO" dataDxfId="83"/>
    <tableColumn id="7" xr3:uid="{C4AAEA0F-03A6-4642-864E-B1EB67CD0D30}" name="CARGO" dataDxfId="82"/>
    <tableColumn id="8" xr3:uid="{2FF7C6CD-EF86-43F4-87CE-CB3684EA5EA5}" name="SUELDO" dataDxfId="81"/>
    <tableColumn id="9" xr3:uid="{5C2E3D5C-A093-4172-9317-C9FBEEDEC590}" name="HORA DE INGRESO" dataDxfId="80"/>
    <tableColumn id="10" xr3:uid="{713A638D-499D-48DD-BBB5-1B182AF75D85}" name="HORA DE SALIDA" dataDxfId="79"/>
    <tableColumn id="11" xr3:uid="{BA4E6632-D97A-4CF5-A202-1DB87A28755E}" name="VENTAS MENSUALES" dataDxfId="78"/>
    <tableColumn id="12" xr3:uid="{62AE5263-3279-4E5E-B734-FE6280001CF5}" name="POSITIVO AL COVID 19" dataDxfId="77"/>
    <tableColumn id="13" xr3:uid="{C8ABE3D1-D742-4490-A87B-99F2EC4EC562}" name="N° DE DÍAS CON LOS SÍNTOMAS" dataDxfId="76"/>
    <tableColumn id="14" xr3:uid="{13B3C0B2-E4C9-4C1F-BB0F-AFED0DE5FA75}" name="CORREO CORPORATIVO" dataDxfId="75">
      <calculatedColumnFormula>_xlfn.CONCAT(LOWER(MID(A2,1,SEARCH(" ",A2)-1)),".",LOWER(MID(A2,SEARCH(" ",A2)+1,3)),YEAR(C2),"@miempresa.com")</calculatedColumnFormula>
    </tableColumn>
    <tableColumn id="16" xr3:uid="{18A6ABC4-C2E0-4058-9303-9A5E24A0BA40}" name="CATEGORÍA VENTAS" dataDxfId="74">
      <calculatedColumnFormula>IF(G2="Ventas",IF(K2&lt;=13000,"MUY MALO",IF(K2&lt;=16000,"MALO",IF(K2&lt;=19000,"REGULAR",IF(K2&lt;=22000,"BUENO",IF(K2&lt;=25000,"EXCELENTE","FUERA DE RANGO")))))," --")</calculatedColumnFormula>
    </tableColumn>
    <tableColumn id="19" xr3:uid="{AAB81F98-C4E2-4EB9-969C-BE6486517336}" name="SUELDO O VENTAS MAYOR AL PROMEDIO" dataDxfId="73">
      <calculatedColumnFormula>OR(H2&gt;AVERAGE(Tabla2[SUELDO]),K2&gt;AVERAGE(Tabla2[VENTAS MENSUALES]))</calculatedColumnFormula>
    </tableColumn>
    <tableColumn id="18" xr3:uid="{35A702DA-D035-4153-8231-C7AD1210929A}" name="AISLAMIENTO OBLIGATORIO" dataDxfId="72">
      <calculatedColumnFormula>IF(L2="SI",IF(M2&lt;=10,"SI","NO"),"--")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6DFBB4-B422-4810-8E95-6BD10F24EBA1}" name="Tabla3" displayName="Tabla3" ref="A1:Q33" totalsRowShown="0">
  <autoFilter ref="A1:Q33" xr:uid="{796DFBB4-B422-4810-8E95-6BD10F24EBA1}"/>
  <tableColumns count="17">
    <tableColumn id="1" xr3:uid="{4828C16D-76EB-4A8B-859E-04355DC2D826}" name="NOMBRE"/>
    <tableColumn id="2" xr3:uid="{CF8F49DE-0EA5-4A1B-B898-A9DF5C0FE844}" name="ESTADO CIVIL"/>
    <tableColumn id="3" xr3:uid="{DB44EFE5-A69F-4788-AA9B-61B42D86C290}" name="FECHA DE NACIMIENTO" dataDxfId="18"/>
    <tableColumn id="4" xr3:uid="{AE2E7BF0-E279-413B-9C5E-6AAD3614C97E}" name="EDAD"/>
    <tableColumn id="5" xr3:uid="{2E4C6B25-2966-436A-8745-6C87C8B10B21}" name="DISTRITO"/>
    <tableColumn id="6" xr3:uid="{35F0BFE0-1E7E-464D-B11C-F0588DDF3FA6}" name="TIPO DE EMPLEADO"/>
    <tableColumn id="7" xr3:uid="{59C17540-3084-4C68-8E18-EBA6D8835D85}" name="CARGO"/>
    <tableColumn id="8" xr3:uid="{AB16FB6C-2BA7-476E-BD08-1E55EEF85D20}" name="SUELDO"/>
    <tableColumn id="9" xr3:uid="{471129FE-A550-415B-974E-875F746C4783}" name="HORA DE INGRESO" dataDxfId="17"/>
    <tableColumn id="10" xr3:uid="{7404DFB1-51E9-4A9F-9A53-33DBBAF42E01}" name="HORA DE SALIDA" dataDxfId="16"/>
    <tableColumn id="11" xr3:uid="{3B320DDE-62A4-4119-971E-45D040E42665}" name="VENTAS MENSUALES"/>
    <tableColumn id="12" xr3:uid="{9805EBF7-60D5-48E8-BA34-D31294F27996}" name="POSITIVO AL COVID 19"/>
    <tableColumn id="13" xr3:uid="{03947756-FC62-4453-A61C-866F8FFA1D86}" name="N° DE DÍAS CON LOS SÍNTOMAS"/>
    <tableColumn id="14" xr3:uid="{2EA8C748-1A84-453F-9857-1D6ABC9AA72C}" name="CORREO CORPORATIVO"/>
    <tableColumn id="15" xr3:uid="{D8417EC9-4622-4032-BD6C-AD83114AF713}" name="CATEGORÍA VENTAS"/>
    <tableColumn id="16" xr3:uid="{1B0BB2E3-77FB-4C74-84CC-6574A5D6B206}" name="SUELDO O VENTAS MAYOR AL PROMEDIO"/>
    <tableColumn id="17" xr3:uid="{03E4BC69-AD30-47F7-A45B-73E317A4B026}" name="AISLAMIENTO OBLIGATO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C1F7-1F72-4379-A6B3-A138A8862892}">
  <dimension ref="F6:J12"/>
  <sheetViews>
    <sheetView showGridLines="0" workbookViewId="0">
      <selection activeCell="A10" sqref="A10:XFD10"/>
    </sheetView>
  </sheetViews>
  <sheetFormatPr baseColWidth="10" defaultRowHeight="16.5" x14ac:dyDescent="0.3"/>
  <cols>
    <col min="1" max="9" width="11" style="31"/>
    <col min="10" max="10" width="27.5" style="31" customWidth="1"/>
    <col min="11" max="16384" width="11" style="31"/>
  </cols>
  <sheetData>
    <row r="6" spans="6:10" ht="20.25" x14ac:dyDescent="0.3">
      <c r="F6" s="54" t="s">
        <v>160</v>
      </c>
      <c r="G6" s="54"/>
      <c r="H6" s="54"/>
      <c r="I6" s="54"/>
      <c r="J6" s="54"/>
    </row>
    <row r="8" spans="6:10" ht="20.25" x14ac:dyDescent="0.3">
      <c r="F8" s="55" t="s">
        <v>158</v>
      </c>
      <c r="G8" s="55"/>
      <c r="H8" s="55"/>
      <c r="I8" s="55"/>
      <c r="J8" s="55"/>
    </row>
    <row r="9" spans="6:10" ht="17.25" x14ac:dyDescent="0.3">
      <c r="F9" s="32"/>
      <c r="G9" s="32"/>
      <c r="H9" s="32"/>
      <c r="I9" s="32"/>
      <c r="J9" s="32"/>
    </row>
    <row r="10" spans="6:10" ht="20.25" x14ac:dyDescent="0.3">
      <c r="F10" s="55" t="s">
        <v>159</v>
      </c>
      <c r="G10" s="55"/>
      <c r="H10" s="55"/>
      <c r="I10" s="55"/>
      <c r="J10" s="55"/>
    </row>
    <row r="12" spans="6:10" ht="22.5" x14ac:dyDescent="0.3">
      <c r="F12" s="56" t="s">
        <v>215</v>
      </c>
      <c r="G12" s="56"/>
      <c r="H12" s="56"/>
      <c r="I12" s="56"/>
      <c r="J12" s="56"/>
    </row>
  </sheetData>
  <mergeCells count="4">
    <mergeCell ref="F6:J6"/>
    <mergeCell ref="F8:J8"/>
    <mergeCell ref="F10:J10"/>
    <mergeCell ref="F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0F7-B34F-496A-91E1-164158ABDE26}">
  <sheetPr>
    <tabColor theme="8" tint="-0.249977111117893"/>
  </sheetPr>
  <dimension ref="A1:Q118"/>
  <sheetViews>
    <sheetView showGridLines="0" workbookViewId="0">
      <selection sqref="A1:Q101"/>
    </sheetView>
  </sheetViews>
  <sheetFormatPr baseColWidth="10" defaultRowHeight="16.5" x14ac:dyDescent="0.3"/>
  <cols>
    <col min="1" max="1" width="43.625" customWidth="1"/>
    <col min="2" max="2" width="18.5" customWidth="1"/>
    <col min="3" max="3" width="28.375" customWidth="1"/>
    <col min="4" max="4" width="11.875" customWidth="1"/>
    <col min="5" max="5" width="22.375" customWidth="1"/>
    <col min="6" max="6" width="24.75" customWidth="1"/>
    <col min="7" max="7" width="17.375" customWidth="1"/>
    <col min="8" max="8" width="14.5" customWidth="1"/>
    <col min="9" max="9" width="24.75" customWidth="1"/>
    <col min="10" max="10" width="23.25" customWidth="1"/>
    <col min="11" max="11" width="27.5" customWidth="1"/>
    <col min="12" max="12" width="28.25" customWidth="1"/>
    <col min="13" max="13" width="35.875" customWidth="1"/>
    <col min="14" max="14" width="37.375" style="47" customWidth="1"/>
    <col min="15" max="15" width="27.5" customWidth="1"/>
    <col min="16" max="16" width="43" customWidth="1"/>
    <col min="17" max="17" width="27.5" customWidth="1"/>
    <col min="19" max="19" width="10"/>
    <col min="20" max="20" width="10.375" bestFit="1" customWidth="1"/>
    <col min="21" max="21" width="31.25" customWidth="1"/>
    <col min="22" max="23" width="10"/>
  </cols>
  <sheetData>
    <row r="1" spans="1:17" ht="17.25" thickBot="1" x14ac:dyDescent="0.3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7" t="s">
        <v>12</v>
      </c>
      <c r="N1" s="36" t="s">
        <v>161</v>
      </c>
      <c r="O1" s="36" t="s">
        <v>162</v>
      </c>
      <c r="P1" s="36" t="s">
        <v>164</v>
      </c>
      <c r="Q1" s="36" t="s">
        <v>163</v>
      </c>
    </row>
    <row r="2" spans="1:17" x14ac:dyDescent="0.3">
      <c r="A2" s="7" t="s">
        <v>13</v>
      </c>
      <c r="B2" s="8" t="s">
        <v>107</v>
      </c>
      <c r="C2" s="9">
        <v>33391</v>
      </c>
      <c r="D2" s="8">
        <v>31</v>
      </c>
      <c r="E2" s="7" t="s">
        <v>110</v>
      </c>
      <c r="F2" s="8" t="s">
        <v>120</v>
      </c>
      <c r="G2" s="8" t="s">
        <v>125</v>
      </c>
      <c r="H2" s="10">
        <v>2025</v>
      </c>
      <c r="I2" s="11">
        <v>0.32927747525484524</v>
      </c>
      <c r="J2" s="11">
        <v>0.79872682887559276</v>
      </c>
      <c r="K2" s="10">
        <v>24184</v>
      </c>
      <c r="L2" s="8" t="s">
        <v>126</v>
      </c>
      <c r="M2" s="33">
        <v>12</v>
      </c>
      <c r="N2" s="44" t="str">
        <f t="shared" ref="N2:N33" si="0">_xlfn.CONCAT(LOWER(MID(A2,1,SEARCH(" ",A2)-1)),".",LOWER(MID(A2,SEARCH(" ",A2)+1,3)),YEAR(C2),"@miempresa.com")</f>
        <v>inga.guz1991@miempresa.com</v>
      </c>
      <c r="O2" s="33" t="str">
        <f t="shared" ref="O2:O33" si="1">IF(G2="Ventas",IF(K2&lt;=13000,"MUY MALO",IF(K2&lt;=16000,"MALO",IF(K2&lt;=19000,"REGULAR",IF(K2&lt;=22000,"BUENO",IF(K2&lt;=25000,"EXCELENTE","FUERA DE RANGO")))))," --")</f>
        <v>EXCELENTE</v>
      </c>
      <c r="P2" s="33" t="b">
        <f>OR(H2&gt;AVERAGE(Tabla2[SUELDO]),K2&gt;AVERAGE(Tabla2[VENTAS MENSUALES]))</f>
        <v>1</v>
      </c>
      <c r="Q2" s="33" t="str">
        <f t="shared" ref="Q2:Q33" si="2">IF(L2="SI",IF(M2&lt;=10,"SI","NO"),"--")</f>
        <v>NO</v>
      </c>
    </row>
    <row r="3" spans="1:17" x14ac:dyDescent="0.3">
      <c r="A3" s="2" t="s">
        <v>14</v>
      </c>
      <c r="B3" s="3" t="s">
        <v>109</v>
      </c>
      <c r="C3" s="4">
        <v>28196</v>
      </c>
      <c r="D3" s="3">
        <v>46</v>
      </c>
      <c r="E3" s="2" t="s">
        <v>112</v>
      </c>
      <c r="F3" s="3" t="s">
        <v>120</v>
      </c>
      <c r="G3" s="3" t="s">
        <v>123</v>
      </c>
      <c r="H3" s="5">
        <v>2375</v>
      </c>
      <c r="I3" s="6">
        <v>0.29911096401006443</v>
      </c>
      <c r="J3" s="6">
        <v>0.76539778739318864</v>
      </c>
      <c r="K3" s="5">
        <v>0</v>
      </c>
      <c r="L3" s="3" t="s">
        <v>127</v>
      </c>
      <c r="M3" s="34">
        <v>0</v>
      </c>
      <c r="N3" s="45" t="str">
        <f t="shared" si="0"/>
        <v>panduro.gue1977@miempresa.com</v>
      </c>
      <c r="O3" s="34" t="str">
        <f t="shared" si="1"/>
        <v xml:space="preserve"> --</v>
      </c>
      <c r="P3" s="34" t="b">
        <f>OR(H3&gt;AVERAGE(Tabla2[SUELDO]),K3&gt;AVERAGE(Tabla2[VENTAS MENSUALES]))</f>
        <v>1</v>
      </c>
      <c r="Q3" s="34" t="str">
        <f t="shared" si="2"/>
        <v>--</v>
      </c>
    </row>
    <row r="4" spans="1:17" x14ac:dyDescent="0.3">
      <c r="A4" s="2" t="s">
        <v>15</v>
      </c>
      <c r="B4" s="3" t="s">
        <v>108</v>
      </c>
      <c r="C4" s="4">
        <v>35310</v>
      </c>
      <c r="D4" s="3">
        <v>26</v>
      </c>
      <c r="E4" s="2" t="s">
        <v>110</v>
      </c>
      <c r="F4" s="3" t="s">
        <v>121</v>
      </c>
      <c r="G4" s="3" t="s">
        <v>125</v>
      </c>
      <c r="H4" s="5">
        <v>1825</v>
      </c>
      <c r="I4" s="6">
        <v>0.29748566485453598</v>
      </c>
      <c r="J4" s="6">
        <v>0.74692429482553568</v>
      </c>
      <c r="K4" s="5">
        <v>24350</v>
      </c>
      <c r="L4" s="3" t="s">
        <v>127</v>
      </c>
      <c r="M4" s="34">
        <v>0</v>
      </c>
      <c r="N4" s="45" t="str">
        <f t="shared" si="0"/>
        <v>lopez.cor1996@miempresa.com</v>
      </c>
      <c r="O4" s="34" t="str">
        <f t="shared" si="1"/>
        <v>EXCELENTE</v>
      </c>
      <c r="P4" s="34" t="b">
        <f>OR(H4&gt;AVERAGE(Tabla2[SUELDO]),K4&gt;AVERAGE(Tabla2[VENTAS MENSUALES]))</f>
        <v>1</v>
      </c>
      <c r="Q4" s="34" t="str">
        <f t="shared" si="2"/>
        <v>--</v>
      </c>
    </row>
    <row r="5" spans="1:17" x14ac:dyDescent="0.3">
      <c r="A5" s="2" t="s">
        <v>16</v>
      </c>
      <c r="B5" s="3" t="s">
        <v>109</v>
      </c>
      <c r="C5" s="4">
        <v>34792</v>
      </c>
      <c r="D5" s="3">
        <v>28</v>
      </c>
      <c r="E5" s="2" t="s">
        <v>115</v>
      </c>
      <c r="F5" s="3" t="s">
        <v>122</v>
      </c>
      <c r="G5" s="3" t="s">
        <v>123</v>
      </c>
      <c r="H5" s="5">
        <v>2575</v>
      </c>
      <c r="I5" s="6">
        <v>0.31485070343748778</v>
      </c>
      <c r="J5" s="6">
        <v>0.80583811313242548</v>
      </c>
      <c r="K5" s="5">
        <v>0</v>
      </c>
      <c r="L5" s="3" t="s">
        <v>127</v>
      </c>
      <c r="M5" s="34">
        <v>0</v>
      </c>
      <c r="N5" s="45" t="str">
        <f t="shared" si="0"/>
        <v>rios.pai1995@miempresa.com</v>
      </c>
      <c r="O5" s="34" t="str">
        <f t="shared" si="1"/>
        <v xml:space="preserve"> --</v>
      </c>
      <c r="P5" s="34" t="b">
        <f>OR(H5&gt;AVERAGE(Tabla2[SUELDO]),K5&gt;AVERAGE(Tabla2[VENTAS MENSUALES]))</f>
        <v>1</v>
      </c>
      <c r="Q5" s="34" t="str">
        <f t="shared" si="2"/>
        <v>--</v>
      </c>
    </row>
    <row r="6" spans="1:17" x14ac:dyDescent="0.3">
      <c r="A6" s="2" t="s">
        <v>17</v>
      </c>
      <c r="B6" s="3" t="s">
        <v>107</v>
      </c>
      <c r="C6" s="4">
        <v>34042</v>
      </c>
      <c r="D6" s="3">
        <v>30</v>
      </c>
      <c r="E6" s="2" t="s">
        <v>114</v>
      </c>
      <c r="F6" s="3" t="s">
        <v>122</v>
      </c>
      <c r="G6" s="3" t="s">
        <v>124</v>
      </c>
      <c r="H6" s="5">
        <v>2175</v>
      </c>
      <c r="I6" s="6">
        <v>0.33044800301745147</v>
      </c>
      <c r="J6" s="6">
        <v>0.79399477939948371</v>
      </c>
      <c r="K6" s="5">
        <v>0</v>
      </c>
      <c r="L6" s="3" t="s">
        <v>127</v>
      </c>
      <c r="M6" s="34">
        <v>0</v>
      </c>
      <c r="N6" s="45" t="str">
        <f t="shared" si="0"/>
        <v>mendoza.are1993@miempresa.com</v>
      </c>
      <c r="O6" s="34" t="str">
        <f t="shared" si="1"/>
        <v xml:space="preserve"> --</v>
      </c>
      <c r="P6" s="34" t="b">
        <f>OR(H6&gt;AVERAGE(Tabla2[SUELDO]),K6&gt;AVERAGE(Tabla2[VENTAS MENSUALES]))</f>
        <v>1</v>
      </c>
      <c r="Q6" s="34" t="str">
        <f t="shared" si="2"/>
        <v>--</v>
      </c>
    </row>
    <row r="7" spans="1:17" x14ac:dyDescent="0.3">
      <c r="A7" s="2" t="s">
        <v>18</v>
      </c>
      <c r="B7" s="3" t="s">
        <v>108</v>
      </c>
      <c r="C7" s="4">
        <v>35890</v>
      </c>
      <c r="D7" s="3">
        <v>25</v>
      </c>
      <c r="E7" s="2" t="s">
        <v>113</v>
      </c>
      <c r="F7" s="3" t="s">
        <v>121</v>
      </c>
      <c r="G7" s="3" t="s">
        <v>124</v>
      </c>
      <c r="H7" s="5">
        <v>1775</v>
      </c>
      <c r="I7" s="6">
        <v>0.3065773516574487</v>
      </c>
      <c r="J7" s="6">
        <v>0.78601992955891242</v>
      </c>
      <c r="K7" s="5">
        <v>0</v>
      </c>
      <c r="L7" s="3" t="s">
        <v>127</v>
      </c>
      <c r="M7" s="34">
        <v>0</v>
      </c>
      <c r="N7" s="45" t="str">
        <f t="shared" si="0"/>
        <v>vasquez.par1998@miempresa.com</v>
      </c>
      <c r="O7" s="34" t="str">
        <f t="shared" si="1"/>
        <v xml:space="preserve"> --</v>
      </c>
      <c r="P7" s="34" t="b">
        <f>OR(H7&gt;AVERAGE(Tabla2[SUELDO]),K7&gt;AVERAGE(Tabla2[VENTAS MENSUALES]))</f>
        <v>0</v>
      </c>
      <c r="Q7" s="34" t="str">
        <f t="shared" si="2"/>
        <v>--</v>
      </c>
    </row>
    <row r="8" spans="1:17" x14ac:dyDescent="0.3">
      <c r="A8" s="2" t="s">
        <v>19</v>
      </c>
      <c r="B8" s="3" t="s">
        <v>108</v>
      </c>
      <c r="C8" s="4">
        <v>27006</v>
      </c>
      <c r="D8" s="3">
        <v>49</v>
      </c>
      <c r="E8" s="2" t="s">
        <v>111</v>
      </c>
      <c r="F8" s="3" t="s">
        <v>120</v>
      </c>
      <c r="G8" s="3" t="s">
        <v>123</v>
      </c>
      <c r="H8" s="5">
        <v>2375</v>
      </c>
      <c r="I8" s="6">
        <v>0.31629147277856229</v>
      </c>
      <c r="J8" s="6">
        <v>0.80537870821094526</v>
      </c>
      <c r="K8" s="5">
        <v>0</v>
      </c>
      <c r="L8" s="3" t="s">
        <v>127</v>
      </c>
      <c r="M8" s="34">
        <v>0</v>
      </c>
      <c r="N8" s="45" t="str">
        <f t="shared" si="0"/>
        <v>arevalo.gon1973@miempresa.com</v>
      </c>
      <c r="O8" s="34" t="str">
        <f t="shared" si="1"/>
        <v xml:space="preserve"> --</v>
      </c>
      <c r="P8" s="34" t="b">
        <f>OR(H8&gt;AVERAGE(Tabla2[SUELDO]),K8&gt;AVERAGE(Tabla2[VENTAS MENSUALES]))</f>
        <v>1</v>
      </c>
      <c r="Q8" s="34" t="str">
        <f t="shared" si="2"/>
        <v>--</v>
      </c>
    </row>
    <row r="9" spans="1:17" x14ac:dyDescent="0.3">
      <c r="A9" s="2" t="s">
        <v>20</v>
      </c>
      <c r="B9" s="3" t="s">
        <v>109</v>
      </c>
      <c r="C9" s="4">
        <v>29951</v>
      </c>
      <c r="D9" s="3">
        <v>41</v>
      </c>
      <c r="E9" s="2" t="s">
        <v>115</v>
      </c>
      <c r="F9" s="3" t="s">
        <v>122</v>
      </c>
      <c r="G9" s="3" t="s">
        <v>123</v>
      </c>
      <c r="H9" s="5">
        <v>2575</v>
      </c>
      <c r="I9" s="6">
        <v>0.298401439443576</v>
      </c>
      <c r="J9" s="6">
        <v>0.75655277468680115</v>
      </c>
      <c r="K9" s="5">
        <v>0</v>
      </c>
      <c r="L9" s="3" t="s">
        <v>126</v>
      </c>
      <c r="M9" s="34">
        <v>6</v>
      </c>
      <c r="N9" s="45" t="str">
        <f t="shared" si="0"/>
        <v>santillan.bar1981@miempresa.com</v>
      </c>
      <c r="O9" s="34" t="str">
        <f t="shared" si="1"/>
        <v xml:space="preserve"> --</v>
      </c>
      <c r="P9" s="34" t="b">
        <f>OR(H9&gt;AVERAGE(Tabla2[SUELDO]),K9&gt;AVERAGE(Tabla2[VENTAS MENSUALES]))</f>
        <v>1</v>
      </c>
      <c r="Q9" s="34" t="str">
        <f t="shared" si="2"/>
        <v>SI</v>
      </c>
    </row>
    <row r="10" spans="1:17" x14ac:dyDescent="0.3">
      <c r="A10" s="2" t="s">
        <v>21</v>
      </c>
      <c r="B10" s="3" t="s">
        <v>108</v>
      </c>
      <c r="C10" s="4">
        <v>31743</v>
      </c>
      <c r="D10" s="3">
        <v>36</v>
      </c>
      <c r="E10" s="2" t="s">
        <v>113</v>
      </c>
      <c r="F10" s="3" t="s">
        <v>121</v>
      </c>
      <c r="G10" s="3" t="s">
        <v>124</v>
      </c>
      <c r="H10" s="5">
        <v>1775</v>
      </c>
      <c r="I10" s="6">
        <v>0.32232487529609627</v>
      </c>
      <c r="J10" s="6">
        <v>0.7544921499382049</v>
      </c>
      <c r="K10" s="5">
        <v>0</v>
      </c>
      <c r="L10" s="3" t="s">
        <v>127</v>
      </c>
      <c r="M10" s="34">
        <v>0</v>
      </c>
      <c r="N10" s="45" t="str">
        <f t="shared" si="0"/>
        <v>shuña.hua1986@miempresa.com</v>
      </c>
      <c r="O10" s="34" t="str">
        <f t="shared" si="1"/>
        <v xml:space="preserve"> --</v>
      </c>
      <c r="P10" s="34" t="b">
        <f>OR(H10&gt;AVERAGE(Tabla2[SUELDO]),K10&gt;AVERAGE(Tabla2[VENTAS MENSUALES]))</f>
        <v>0</v>
      </c>
      <c r="Q10" s="34" t="str">
        <f t="shared" si="2"/>
        <v>--</v>
      </c>
    </row>
    <row r="11" spans="1:17" x14ac:dyDescent="0.3">
      <c r="A11" s="2" t="s">
        <v>22</v>
      </c>
      <c r="B11" s="3" t="s">
        <v>107</v>
      </c>
      <c r="C11" s="4">
        <v>27841</v>
      </c>
      <c r="D11" s="3">
        <v>47</v>
      </c>
      <c r="E11" s="2" t="s">
        <v>118</v>
      </c>
      <c r="F11" s="3" t="s">
        <v>121</v>
      </c>
      <c r="G11" s="3" t="s">
        <v>123</v>
      </c>
      <c r="H11" s="5">
        <v>2175</v>
      </c>
      <c r="I11" s="6">
        <v>0.31529874865284141</v>
      </c>
      <c r="J11" s="6">
        <v>0.8048027918257683</v>
      </c>
      <c r="K11" s="5">
        <v>0</v>
      </c>
      <c r="L11" s="3" t="s">
        <v>126</v>
      </c>
      <c r="M11" s="34">
        <v>1</v>
      </c>
      <c r="N11" s="45" t="str">
        <f t="shared" si="0"/>
        <v>chavez.tar1976@miempresa.com</v>
      </c>
      <c r="O11" s="34" t="str">
        <f t="shared" si="1"/>
        <v xml:space="preserve"> --</v>
      </c>
      <c r="P11" s="34" t="b">
        <f>OR(H11&gt;AVERAGE(Tabla2[SUELDO]),K11&gt;AVERAGE(Tabla2[VENTAS MENSUALES]))</f>
        <v>1</v>
      </c>
      <c r="Q11" s="34" t="str">
        <f t="shared" si="2"/>
        <v>SI</v>
      </c>
    </row>
    <row r="12" spans="1:17" x14ac:dyDescent="0.3">
      <c r="A12" s="2" t="s">
        <v>23</v>
      </c>
      <c r="B12" s="3" t="s">
        <v>109</v>
      </c>
      <c r="C12" s="4">
        <v>34394</v>
      </c>
      <c r="D12" s="3">
        <v>29</v>
      </c>
      <c r="E12" s="2" t="s">
        <v>113</v>
      </c>
      <c r="F12" s="3" t="s">
        <v>122</v>
      </c>
      <c r="G12" s="3" t="s">
        <v>125</v>
      </c>
      <c r="H12" s="5">
        <v>2225</v>
      </c>
      <c r="I12" s="6">
        <v>0.31449487130897524</v>
      </c>
      <c r="J12" s="6">
        <v>0.73685614470056282</v>
      </c>
      <c r="K12" s="5">
        <v>20460</v>
      </c>
      <c r="L12" s="3" t="s">
        <v>126</v>
      </c>
      <c r="M12" s="34">
        <v>12</v>
      </c>
      <c r="N12" s="45" t="str">
        <f t="shared" si="0"/>
        <v>sinti.can1994@miempresa.com</v>
      </c>
      <c r="O12" s="34" t="str">
        <f t="shared" si="1"/>
        <v>BUENO</v>
      </c>
      <c r="P12" s="34" t="b">
        <f>OR(H12&gt;AVERAGE(Tabla2[SUELDO]),K12&gt;AVERAGE(Tabla2[VENTAS MENSUALES]))</f>
        <v>1</v>
      </c>
      <c r="Q12" s="34" t="str">
        <f t="shared" si="2"/>
        <v>NO</v>
      </c>
    </row>
    <row r="13" spans="1:17" x14ac:dyDescent="0.3">
      <c r="A13" s="2" t="s">
        <v>24</v>
      </c>
      <c r="B13" s="3" t="s">
        <v>109</v>
      </c>
      <c r="C13" s="4">
        <v>32278</v>
      </c>
      <c r="D13" s="3">
        <v>34</v>
      </c>
      <c r="E13" s="2" t="s">
        <v>113</v>
      </c>
      <c r="F13" s="3" t="s">
        <v>121</v>
      </c>
      <c r="G13" s="3" t="s">
        <v>123</v>
      </c>
      <c r="H13" s="5">
        <v>2175</v>
      </c>
      <c r="I13" s="6">
        <v>0.32975720247703799</v>
      </c>
      <c r="J13" s="6">
        <v>0.7308387259412622</v>
      </c>
      <c r="K13" s="5">
        <v>0</v>
      </c>
      <c r="L13" s="3" t="s">
        <v>127</v>
      </c>
      <c r="M13" s="34">
        <v>0</v>
      </c>
      <c r="N13" s="45" t="str">
        <f t="shared" si="0"/>
        <v>pacaya.var1988@miempresa.com</v>
      </c>
      <c r="O13" s="34" t="str">
        <f t="shared" si="1"/>
        <v xml:space="preserve"> --</v>
      </c>
      <c r="P13" s="34" t="b">
        <f>OR(H13&gt;AVERAGE(Tabla2[SUELDO]),K13&gt;AVERAGE(Tabla2[VENTAS MENSUALES]))</f>
        <v>1</v>
      </c>
      <c r="Q13" s="34" t="str">
        <f t="shared" si="2"/>
        <v>--</v>
      </c>
    </row>
    <row r="14" spans="1:17" x14ac:dyDescent="0.3">
      <c r="A14" s="2" t="s">
        <v>25</v>
      </c>
      <c r="B14" s="3" t="s">
        <v>107</v>
      </c>
      <c r="C14" s="4">
        <v>29430</v>
      </c>
      <c r="D14" s="3">
        <v>42</v>
      </c>
      <c r="E14" s="2" t="s">
        <v>116</v>
      </c>
      <c r="F14" s="3" t="s">
        <v>122</v>
      </c>
      <c r="G14" s="3" t="s">
        <v>123</v>
      </c>
      <c r="H14" s="5">
        <v>2575</v>
      </c>
      <c r="I14" s="6">
        <v>0.30191694755760706</v>
      </c>
      <c r="J14" s="6">
        <v>0.8042573572472389</v>
      </c>
      <c r="K14" s="5">
        <v>0</v>
      </c>
      <c r="L14" s="3" t="s">
        <v>126</v>
      </c>
      <c r="M14" s="34">
        <v>1</v>
      </c>
      <c r="N14" s="45" t="str">
        <f t="shared" si="0"/>
        <v>arriaga.val1980@miempresa.com</v>
      </c>
      <c r="O14" s="34" t="str">
        <f t="shared" si="1"/>
        <v xml:space="preserve"> --</v>
      </c>
      <c r="P14" s="34" t="b">
        <f>OR(H14&gt;AVERAGE(Tabla2[SUELDO]),K14&gt;AVERAGE(Tabla2[VENTAS MENSUALES]))</f>
        <v>1</v>
      </c>
      <c r="Q14" s="34" t="str">
        <f t="shared" si="2"/>
        <v>SI</v>
      </c>
    </row>
    <row r="15" spans="1:17" x14ac:dyDescent="0.3">
      <c r="A15" s="2" t="s">
        <v>26</v>
      </c>
      <c r="B15" s="3" t="s">
        <v>108</v>
      </c>
      <c r="C15" s="4">
        <v>33886</v>
      </c>
      <c r="D15" s="3">
        <v>30</v>
      </c>
      <c r="E15" s="2" t="s">
        <v>116</v>
      </c>
      <c r="F15" s="3" t="s">
        <v>120</v>
      </c>
      <c r="G15" s="3" t="s">
        <v>125</v>
      </c>
      <c r="H15" s="5">
        <v>2025</v>
      </c>
      <c r="I15" s="6">
        <v>0.31860823248562481</v>
      </c>
      <c r="J15" s="6">
        <v>0.77585184016003339</v>
      </c>
      <c r="K15" s="5">
        <v>22410</v>
      </c>
      <c r="L15" s="3" t="s">
        <v>127</v>
      </c>
      <c r="M15" s="34">
        <v>0</v>
      </c>
      <c r="N15" s="45" t="str">
        <f t="shared" si="0"/>
        <v>paredes.gra1992@miempresa.com</v>
      </c>
      <c r="O15" s="34" t="str">
        <f t="shared" si="1"/>
        <v>EXCELENTE</v>
      </c>
      <c r="P15" s="34" t="b">
        <f>OR(H15&gt;AVERAGE(Tabla2[SUELDO]),K15&gt;AVERAGE(Tabla2[VENTAS MENSUALES]))</f>
        <v>1</v>
      </c>
      <c r="Q15" s="34" t="str">
        <f t="shared" si="2"/>
        <v>--</v>
      </c>
    </row>
    <row r="16" spans="1:17" x14ac:dyDescent="0.3">
      <c r="A16" s="2" t="s">
        <v>27</v>
      </c>
      <c r="B16" s="3" t="s">
        <v>108</v>
      </c>
      <c r="C16" s="4">
        <v>35813</v>
      </c>
      <c r="D16" s="3">
        <v>25</v>
      </c>
      <c r="E16" s="2" t="s">
        <v>113</v>
      </c>
      <c r="F16" s="3" t="s">
        <v>121</v>
      </c>
      <c r="G16" s="3" t="s">
        <v>123</v>
      </c>
      <c r="H16" s="5">
        <v>2175</v>
      </c>
      <c r="I16" s="6">
        <v>0.29958424125998268</v>
      </c>
      <c r="J16" s="6">
        <v>0.7512439769665773</v>
      </c>
      <c r="K16" s="5">
        <v>0</v>
      </c>
      <c r="L16" s="3" t="s">
        <v>126</v>
      </c>
      <c r="M16" s="34">
        <v>11</v>
      </c>
      <c r="N16" s="45" t="str">
        <f t="shared" si="0"/>
        <v>rengifo.roj1998@miempresa.com</v>
      </c>
      <c r="O16" s="34" t="str">
        <f t="shared" si="1"/>
        <v xml:space="preserve"> --</v>
      </c>
      <c r="P16" s="34" t="b">
        <f>OR(H16&gt;AVERAGE(Tabla2[SUELDO]),K16&gt;AVERAGE(Tabla2[VENTAS MENSUALES]))</f>
        <v>1</v>
      </c>
      <c r="Q16" s="34" t="str">
        <f t="shared" si="2"/>
        <v>NO</v>
      </c>
    </row>
    <row r="17" spans="1:17" x14ac:dyDescent="0.3">
      <c r="A17" s="2" t="s">
        <v>28</v>
      </c>
      <c r="B17" s="3" t="s">
        <v>109</v>
      </c>
      <c r="C17" s="4">
        <v>33850</v>
      </c>
      <c r="D17" s="3">
        <v>30</v>
      </c>
      <c r="E17" s="2" t="s">
        <v>116</v>
      </c>
      <c r="F17" s="3" t="s">
        <v>122</v>
      </c>
      <c r="G17" s="3" t="s">
        <v>124</v>
      </c>
      <c r="H17" s="5">
        <v>2175</v>
      </c>
      <c r="I17" s="6">
        <v>0.3242466051974871</v>
      </c>
      <c r="J17" s="6">
        <v>0.7841012422821052</v>
      </c>
      <c r="K17" s="5">
        <v>0</v>
      </c>
      <c r="L17" s="3" t="s">
        <v>126</v>
      </c>
      <c r="M17" s="34">
        <v>12</v>
      </c>
      <c r="N17" s="45" t="str">
        <f t="shared" si="0"/>
        <v>vilchez.car1992@miempresa.com</v>
      </c>
      <c r="O17" s="34" t="str">
        <f t="shared" si="1"/>
        <v xml:space="preserve"> --</v>
      </c>
      <c r="P17" s="34" t="b">
        <f>OR(H17&gt;AVERAGE(Tabla2[SUELDO]),K17&gt;AVERAGE(Tabla2[VENTAS MENSUALES]))</f>
        <v>1</v>
      </c>
      <c r="Q17" s="34" t="str">
        <f t="shared" si="2"/>
        <v>NO</v>
      </c>
    </row>
    <row r="18" spans="1:17" x14ac:dyDescent="0.3">
      <c r="A18" s="2" t="s">
        <v>29</v>
      </c>
      <c r="B18" s="3" t="s">
        <v>107</v>
      </c>
      <c r="C18" s="4">
        <v>31010</v>
      </c>
      <c r="D18" s="3">
        <v>38</v>
      </c>
      <c r="E18" s="2" t="s">
        <v>116</v>
      </c>
      <c r="F18" s="3" t="s">
        <v>121</v>
      </c>
      <c r="G18" s="3" t="s">
        <v>124</v>
      </c>
      <c r="H18" s="5">
        <v>1775</v>
      </c>
      <c r="I18" s="6">
        <v>0.33315934756935195</v>
      </c>
      <c r="J18" s="6">
        <v>0.81086188454916808</v>
      </c>
      <c r="K18" s="5">
        <v>0</v>
      </c>
      <c r="L18" s="3" t="s">
        <v>127</v>
      </c>
      <c r="M18" s="34">
        <v>0</v>
      </c>
      <c r="N18" s="45" t="str">
        <f t="shared" si="0"/>
        <v>oñate.por1984@miempresa.com</v>
      </c>
      <c r="O18" s="34" t="str">
        <f t="shared" si="1"/>
        <v xml:space="preserve"> --</v>
      </c>
      <c r="P18" s="34" t="b">
        <f>OR(H18&gt;AVERAGE(Tabla2[SUELDO]),K18&gt;AVERAGE(Tabla2[VENTAS MENSUALES]))</f>
        <v>0</v>
      </c>
      <c r="Q18" s="34" t="str">
        <f t="shared" si="2"/>
        <v>--</v>
      </c>
    </row>
    <row r="19" spans="1:17" x14ac:dyDescent="0.3">
      <c r="A19" s="2" t="s">
        <v>30</v>
      </c>
      <c r="B19" s="3" t="s">
        <v>109</v>
      </c>
      <c r="C19" s="4">
        <v>31463</v>
      </c>
      <c r="D19" s="3">
        <v>37</v>
      </c>
      <c r="E19" s="2" t="s">
        <v>118</v>
      </c>
      <c r="F19" s="3" t="s">
        <v>122</v>
      </c>
      <c r="G19" s="3" t="s">
        <v>124</v>
      </c>
      <c r="H19" s="5">
        <v>2175</v>
      </c>
      <c r="I19" s="6">
        <v>0.30721513859908167</v>
      </c>
      <c r="J19" s="6">
        <v>0.78784226609957553</v>
      </c>
      <c r="K19" s="5">
        <v>0</v>
      </c>
      <c r="L19" s="3" t="s">
        <v>126</v>
      </c>
      <c r="M19" s="34">
        <v>6</v>
      </c>
      <c r="N19" s="45" t="str">
        <f t="shared" si="0"/>
        <v>garcia.san1986@miempresa.com</v>
      </c>
      <c r="O19" s="34" t="str">
        <f t="shared" si="1"/>
        <v xml:space="preserve"> --</v>
      </c>
      <c r="P19" s="34" t="b">
        <f>OR(H19&gt;AVERAGE(Tabla2[SUELDO]),K19&gt;AVERAGE(Tabla2[VENTAS MENSUALES]))</f>
        <v>1</v>
      </c>
      <c r="Q19" s="34" t="str">
        <f t="shared" si="2"/>
        <v>SI</v>
      </c>
    </row>
    <row r="20" spans="1:17" x14ac:dyDescent="0.3">
      <c r="A20" s="2" t="s">
        <v>31</v>
      </c>
      <c r="B20" s="3" t="s">
        <v>108</v>
      </c>
      <c r="C20" s="4">
        <v>34943</v>
      </c>
      <c r="D20" s="3">
        <v>27</v>
      </c>
      <c r="E20" s="2" t="s">
        <v>119</v>
      </c>
      <c r="F20" s="3" t="s">
        <v>122</v>
      </c>
      <c r="G20" s="3" t="s">
        <v>125</v>
      </c>
      <c r="H20" s="5">
        <v>2225</v>
      </c>
      <c r="I20" s="6">
        <v>0.32128850055540215</v>
      </c>
      <c r="J20" s="6">
        <v>0.75936135926104875</v>
      </c>
      <c r="K20" s="5">
        <v>10098</v>
      </c>
      <c r="L20" s="3" t="s">
        <v>126</v>
      </c>
      <c r="M20" s="34">
        <v>12</v>
      </c>
      <c r="N20" s="45" t="str">
        <f t="shared" si="0"/>
        <v>perez.zap1995@miempresa.com</v>
      </c>
      <c r="O20" s="34" t="str">
        <f t="shared" si="1"/>
        <v>MUY MALO</v>
      </c>
      <c r="P20" s="34" t="b">
        <f>OR(H20&gt;AVERAGE(Tabla2[SUELDO]),K20&gt;AVERAGE(Tabla2[VENTAS MENSUALES]))</f>
        <v>1</v>
      </c>
      <c r="Q20" s="34" t="str">
        <f t="shared" si="2"/>
        <v>NO</v>
      </c>
    </row>
    <row r="21" spans="1:17" x14ac:dyDescent="0.3">
      <c r="A21" s="2" t="s">
        <v>32</v>
      </c>
      <c r="B21" s="3" t="s">
        <v>109</v>
      </c>
      <c r="C21" s="4">
        <v>28688</v>
      </c>
      <c r="D21" s="3">
        <v>44</v>
      </c>
      <c r="E21" s="2" t="s">
        <v>116</v>
      </c>
      <c r="F21" s="3" t="s">
        <v>122</v>
      </c>
      <c r="G21" s="3" t="s">
        <v>124</v>
      </c>
      <c r="H21" s="5">
        <v>2175</v>
      </c>
      <c r="I21" s="6">
        <v>0.32196836098524295</v>
      </c>
      <c r="J21" s="6">
        <v>0.8070816447210698</v>
      </c>
      <c r="K21" s="5">
        <v>0</v>
      </c>
      <c r="L21" s="3" t="s">
        <v>126</v>
      </c>
      <c r="M21" s="34">
        <v>15</v>
      </c>
      <c r="N21" s="45" t="str">
        <f t="shared" si="0"/>
        <v>rios.dav1978@miempresa.com</v>
      </c>
      <c r="O21" s="34" t="str">
        <f t="shared" si="1"/>
        <v xml:space="preserve"> --</v>
      </c>
      <c r="P21" s="34" t="b">
        <f>OR(H21&gt;AVERAGE(Tabla2[SUELDO]),K21&gt;AVERAGE(Tabla2[VENTAS MENSUALES]))</f>
        <v>1</v>
      </c>
      <c r="Q21" s="34" t="str">
        <f t="shared" si="2"/>
        <v>NO</v>
      </c>
    </row>
    <row r="22" spans="1:17" x14ac:dyDescent="0.3">
      <c r="A22" s="2" t="s">
        <v>33</v>
      </c>
      <c r="B22" s="3" t="s">
        <v>109</v>
      </c>
      <c r="C22" s="4">
        <v>35048</v>
      </c>
      <c r="D22" s="3">
        <v>27</v>
      </c>
      <c r="E22" s="2" t="s">
        <v>112</v>
      </c>
      <c r="F22" s="3" t="s">
        <v>120</v>
      </c>
      <c r="G22" s="3" t="s">
        <v>124</v>
      </c>
      <c r="H22" s="5">
        <v>1975</v>
      </c>
      <c r="I22" s="6">
        <v>0.32082879528908059</v>
      </c>
      <c r="J22" s="6">
        <v>0.72918175469220048</v>
      </c>
      <c r="K22" s="5">
        <v>0</v>
      </c>
      <c r="L22" s="3" t="s">
        <v>127</v>
      </c>
      <c r="M22" s="34">
        <v>0</v>
      </c>
      <c r="N22" s="45" t="str">
        <f t="shared" si="0"/>
        <v>flores.per1995@miempresa.com</v>
      </c>
      <c r="O22" s="34" t="str">
        <f t="shared" si="1"/>
        <v xml:space="preserve"> --</v>
      </c>
      <c r="P22" s="34" t="b">
        <f>OR(H22&gt;AVERAGE(Tabla2[SUELDO]),K22&gt;AVERAGE(Tabla2[VENTAS MENSUALES]))</f>
        <v>0</v>
      </c>
      <c r="Q22" s="34" t="str">
        <f t="shared" si="2"/>
        <v>--</v>
      </c>
    </row>
    <row r="23" spans="1:17" x14ac:dyDescent="0.3">
      <c r="A23" s="2" t="s">
        <v>34</v>
      </c>
      <c r="B23" s="3" t="s">
        <v>108</v>
      </c>
      <c r="C23" s="4">
        <v>28419</v>
      </c>
      <c r="D23" s="3">
        <v>45</v>
      </c>
      <c r="E23" s="2" t="s">
        <v>116</v>
      </c>
      <c r="F23" s="3" t="s">
        <v>121</v>
      </c>
      <c r="G23" s="3" t="s">
        <v>124</v>
      </c>
      <c r="H23" s="5">
        <v>1775</v>
      </c>
      <c r="I23" s="6">
        <v>0.31563644879046038</v>
      </c>
      <c r="J23" s="6">
        <v>0.72704636995948846</v>
      </c>
      <c r="K23" s="5">
        <v>0</v>
      </c>
      <c r="L23" s="3" t="s">
        <v>126</v>
      </c>
      <c r="M23" s="34">
        <v>14</v>
      </c>
      <c r="N23" s="45" t="str">
        <f t="shared" si="0"/>
        <v>pinedo.rui1977@miempresa.com</v>
      </c>
      <c r="O23" s="34" t="str">
        <f t="shared" si="1"/>
        <v xml:space="preserve"> --</v>
      </c>
      <c r="P23" s="34" t="b">
        <f>OR(H23&gt;AVERAGE(Tabla2[SUELDO]),K23&gt;AVERAGE(Tabla2[VENTAS MENSUALES]))</f>
        <v>0</v>
      </c>
      <c r="Q23" s="34" t="str">
        <f t="shared" si="2"/>
        <v>NO</v>
      </c>
    </row>
    <row r="24" spans="1:17" x14ac:dyDescent="0.3">
      <c r="A24" s="2" t="s">
        <v>35</v>
      </c>
      <c r="B24" s="3" t="s">
        <v>108</v>
      </c>
      <c r="C24" s="4">
        <v>34477</v>
      </c>
      <c r="D24" s="3">
        <v>28</v>
      </c>
      <c r="E24" s="2" t="s">
        <v>112</v>
      </c>
      <c r="F24" s="3" t="s">
        <v>121</v>
      </c>
      <c r="G24" s="3" t="s">
        <v>124</v>
      </c>
      <c r="H24" s="5">
        <v>1775</v>
      </c>
      <c r="I24" s="6">
        <v>0.32708275700990824</v>
      </c>
      <c r="J24" s="6">
        <v>0.79419098588895876</v>
      </c>
      <c r="K24" s="5">
        <v>0</v>
      </c>
      <c r="L24" s="3" t="s">
        <v>127</v>
      </c>
      <c r="M24" s="34">
        <v>0</v>
      </c>
      <c r="N24" s="45" t="str">
        <f t="shared" si="0"/>
        <v>villegas.rui1994@miempresa.com</v>
      </c>
      <c r="O24" s="34" t="str">
        <f t="shared" si="1"/>
        <v xml:space="preserve"> --</v>
      </c>
      <c r="P24" s="34" t="b">
        <f>OR(H24&gt;AVERAGE(Tabla2[SUELDO]),K24&gt;AVERAGE(Tabla2[VENTAS MENSUALES]))</f>
        <v>0</v>
      </c>
      <c r="Q24" s="34" t="str">
        <f t="shared" si="2"/>
        <v>--</v>
      </c>
    </row>
    <row r="25" spans="1:17" x14ac:dyDescent="0.3">
      <c r="A25" s="2" t="s">
        <v>36</v>
      </c>
      <c r="B25" s="3" t="s">
        <v>108</v>
      </c>
      <c r="C25" s="4">
        <v>31310</v>
      </c>
      <c r="D25" s="3">
        <v>37</v>
      </c>
      <c r="E25" s="2" t="s">
        <v>112</v>
      </c>
      <c r="F25" s="3" t="s">
        <v>120</v>
      </c>
      <c r="G25" s="3" t="s">
        <v>125</v>
      </c>
      <c r="H25" s="5">
        <v>2025</v>
      </c>
      <c r="I25" s="6">
        <v>0.33073259078086659</v>
      </c>
      <c r="J25" s="6">
        <v>0.73205374925915445</v>
      </c>
      <c r="K25" s="5">
        <v>23811</v>
      </c>
      <c r="L25" s="3" t="s">
        <v>126</v>
      </c>
      <c r="M25" s="34">
        <v>11</v>
      </c>
      <c r="N25" s="45" t="str">
        <f t="shared" si="0"/>
        <v>perez.mon1985@miempresa.com</v>
      </c>
      <c r="O25" s="34" t="str">
        <f t="shared" si="1"/>
        <v>EXCELENTE</v>
      </c>
      <c r="P25" s="34" t="b">
        <f>OR(H25&gt;AVERAGE(Tabla2[SUELDO]),K25&gt;AVERAGE(Tabla2[VENTAS MENSUALES]))</f>
        <v>1</v>
      </c>
      <c r="Q25" s="34" t="str">
        <f t="shared" si="2"/>
        <v>NO</v>
      </c>
    </row>
    <row r="26" spans="1:17" x14ac:dyDescent="0.3">
      <c r="A26" s="2" t="s">
        <v>37</v>
      </c>
      <c r="B26" s="3" t="s">
        <v>109</v>
      </c>
      <c r="C26" s="4">
        <v>32051</v>
      </c>
      <c r="D26" s="3">
        <v>35</v>
      </c>
      <c r="E26" s="2" t="s">
        <v>117</v>
      </c>
      <c r="F26" s="3" t="s">
        <v>121</v>
      </c>
      <c r="G26" s="3" t="s">
        <v>124</v>
      </c>
      <c r="H26" s="5">
        <v>1775</v>
      </c>
      <c r="I26" s="6">
        <v>0.31069688210231478</v>
      </c>
      <c r="J26" s="6">
        <v>0.76810231325520317</v>
      </c>
      <c r="K26" s="5">
        <v>0</v>
      </c>
      <c r="L26" s="3" t="s">
        <v>126</v>
      </c>
      <c r="M26" s="34">
        <v>2</v>
      </c>
      <c r="N26" s="45" t="str">
        <f t="shared" si="0"/>
        <v>siu.gom1987@miempresa.com</v>
      </c>
      <c r="O26" s="34" t="str">
        <f t="shared" si="1"/>
        <v xml:space="preserve"> --</v>
      </c>
      <c r="P26" s="34" t="b">
        <f>OR(H26&gt;AVERAGE(Tabla2[SUELDO]),K26&gt;AVERAGE(Tabla2[VENTAS MENSUALES]))</f>
        <v>0</v>
      </c>
      <c r="Q26" s="34" t="str">
        <f t="shared" si="2"/>
        <v>SI</v>
      </c>
    </row>
    <row r="27" spans="1:17" x14ac:dyDescent="0.3">
      <c r="A27" s="2" t="s">
        <v>38</v>
      </c>
      <c r="B27" s="3" t="s">
        <v>108</v>
      </c>
      <c r="C27" s="4">
        <v>27917</v>
      </c>
      <c r="D27" s="3">
        <v>46</v>
      </c>
      <c r="E27" s="2" t="s">
        <v>111</v>
      </c>
      <c r="F27" s="3" t="s">
        <v>122</v>
      </c>
      <c r="G27" s="3" t="s">
        <v>125</v>
      </c>
      <c r="H27" s="5">
        <v>2225</v>
      </c>
      <c r="I27" s="6">
        <v>0.3258358971920487</v>
      </c>
      <c r="J27" s="6">
        <v>0.73275091150293625</v>
      </c>
      <c r="K27" s="5">
        <v>10387</v>
      </c>
      <c r="L27" s="3" t="s">
        <v>127</v>
      </c>
      <c r="M27" s="34">
        <v>0</v>
      </c>
      <c r="N27" s="45" t="str">
        <f t="shared" si="0"/>
        <v>nuve.shu1976@miempresa.com</v>
      </c>
      <c r="O27" s="34" t="str">
        <f t="shared" si="1"/>
        <v>MUY MALO</v>
      </c>
      <c r="P27" s="34" t="b">
        <f>OR(H27&gt;AVERAGE(Tabla2[SUELDO]),K27&gt;AVERAGE(Tabla2[VENTAS MENSUALES]))</f>
        <v>1</v>
      </c>
      <c r="Q27" s="34" t="str">
        <f t="shared" si="2"/>
        <v>--</v>
      </c>
    </row>
    <row r="28" spans="1:17" x14ac:dyDescent="0.3">
      <c r="A28" s="2" t="s">
        <v>39</v>
      </c>
      <c r="B28" s="3" t="s">
        <v>108</v>
      </c>
      <c r="C28" s="4">
        <v>28395</v>
      </c>
      <c r="D28" s="3">
        <v>45</v>
      </c>
      <c r="E28" s="2" t="s">
        <v>119</v>
      </c>
      <c r="F28" s="3" t="s">
        <v>122</v>
      </c>
      <c r="G28" s="3" t="s">
        <v>123</v>
      </c>
      <c r="H28" s="5">
        <v>2575</v>
      </c>
      <c r="I28" s="6">
        <v>0.31782587273511986</v>
      </c>
      <c r="J28" s="6">
        <v>0.79026178231898569</v>
      </c>
      <c r="K28" s="5">
        <v>0</v>
      </c>
      <c r="L28" s="3" t="s">
        <v>127</v>
      </c>
      <c r="M28" s="34">
        <v>0</v>
      </c>
      <c r="N28" s="45" t="str">
        <f t="shared" si="0"/>
        <v>souza.sal1977@miempresa.com</v>
      </c>
      <c r="O28" s="34" t="str">
        <f t="shared" si="1"/>
        <v xml:space="preserve"> --</v>
      </c>
      <c r="P28" s="34" t="b">
        <f>OR(H28&gt;AVERAGE(Tabla2[SUELDO]),K28&gt;AVERAGE(Tabla2[VENTAS MENSUALES]))</f>
        <v>1</v>
      </c>
      <c r="Q28" s="34" t="str">
        <f t="shared" si="2"/>
        <v>--</v>
      </c>
    </row>
    <row r="29" spans="1:17" x14ac:dyDescent="0.3">
      <c r="A29" s="2" t="s">
        <v>40</v>
      </c>
      <c r="B29" s="3" t="s">
        <v>109</v>
      </c>
      <c r="C29" s="4">
        <v>35083</v>
      </c>
      <c r="D29" s="3">
        <v>27</v>
      </c>
      <c r="E29" s="2" t="s">
        <v>116</v>
      </c>
      <c r="F29" s="3" t="s">
        <v>122</v>
      </c>
      <c r="G29" s="3" t="s">
        <v>125</v>
      </c>
      <c r="H29" s="5">
        <v>2225</v>
      </c>
      <c r="I29" s="6">
        <v>0.32635325479709498</v>
      </c>
      <c r="J29" s="6">
        <v>0.79596666215371281</v>
      </c>
      <c r="K29" s="5">
        <v>16924</v>
      </c>
      <c r="L29" s="3" t="s">
        <v>127</v>
      </c>
      <c r="M29" s="34">
        <v>0</v>
      </c>
      <c r="N29" s="45" t="str">
        <f t="shared" si="0"/>
        <v>oberluis.mus1996@miempresa.com</v>
      </c>
      <c r="O29" s="34" t="str">
        <f t="shared" si="1"/>
        <v>REGULAR</v>
      </c>
      <c r="P29" s="34" t="b">
        <f>OR(H29&gt;AVERAGE(Tabla2[SUELDO]),K29&gt;AVERAGE(Tabla2[VENTAS MENSUALES]))</f>
        <v>1</v>
      </c>
      <c r="Q29" s="34" t="str">
        <f t="shared" si="2"/>
        <v>--</v>
      </c>
    </row>
    <row r="30" spans="1:17" x14ac:dyDescent="0.3">
      <c r="A30" s="2" t="s">
        <v>41</v>
      </c>
      <c r="B30" s="3" t="s">
        <v>108</v>
      </c>
      <c r="C30" s="4">
        <v>31535</v>
      </c>
      <c r="D30" s="3">
        <v>36</v>
      </c>
      <c r="E30" s="2" t="s">
        <v>116</v>
      </c>
      <c r="F30" s="3" t="s">
        <v>122</v>
      </c>
      <c r="G30" s="3" t="s">
        <v>124</v>
      </c>
      <c r="H30" s="5">
        <v>2175</v>
      </c>
      <c r="I30" s="6">
        <v>0.30805564026833437</v>
      </c>
      <c r="J30" s="6">
        <v>0.73418230408037666</v>
      </c>
      <c r="K30" s="5">
        <v>0</v>
      </c>
      <c r="L30" s="3" t="s">
        <v>126</v>
      </c>
      <c r="M30" s="34">
        <v>2</v>
      </c>
      <c r="N30" s="45" t="str">
        <f t="shared" si="0"/>
        <v>rodriguez.sil1986@miempresa.com</v>
      </c>
      <c r="O30" s="34" t="str">
        <f t="shared" si="1"/>
        <v xml:space="preserve"> --</v>
      </c>
      <c r="P30" s="34" t="b">
        <f>OR(H30&gt;AVERAGE(Tabla2[SUELDO]),K30&gt;AVERAGE(Tabla2[VENTAS MENSUALES]))</f>
        <v>1</v>
      </c>
      <c r="Q30" s="34" t="str">
        <f t="shared" si="2"/>
        <v>SI</v>
      </c>
    </row>
    <row r="31" spans="1:17" x14ac:dyDescent="0.3">
      <c r="A31" s="2" t="s">
        <v>42</v>
      </c>
      <c r="B31" s="3" t="s">
        <v>109</v>
      </c>
      <c r="C31" s="4">
        <v>28310</v>
      </c>
      <c r="D31" s="3">
        <v>45</v>
      </c>
      <c r="E31" s="2" t="s">
        <v>115</v>
      </c>
      <c r="F31" s="3" t="s">
        <v>120</v>
      </c>
      <c r="G31" s="3" t="s">
        <v>123</v>
      </c>
      <c r="H31" s="5">
        <v>2375</v>
      </c>
      <c r="I31" s="6">
        <v>0.32457832623482874</v>
      </c>
      <c r="J31" s="6">
        <v>0.78566977639227586</v>
      </c>
      <c r="K31" s="5">
        <v>0</v>
      </c>
      <c r="L31" s="3" t="s">
        <v>126</v>
      </c>
      <c r="M31" s="34">
        <v>8</v>
      </c>
      <c r="N31" s="45" t="str">
        <f t="shared" si="0"/>
        <v>del.agu1977@miempresa.com</v>
      </c>
      <c r="O31" s="34" t="str">
        <f t="shared" si="1"/>
        <v xml:space="preserve"> --</v>
      </c>
      <c r="P31" s="34" t="b">
        <f>OR(H31&gt;AVERAGE(Tabla2[SUELDO]),K31&gt;AVERAGE(Tabla2[VENTAS MENSUALES]))</f>
        <v>1</v>
      </c>
      <c r="Q31" s="34" t="str">
        <f t="shared" si="2"/>
        <v>SI</v>
      </c>
    </row>
    <row r="32" spans="1:17" x14ac:dyDescent="0.3">
      <c r="A32" s="2" t="s">
        <v>43</v>
      </c>
      <c r="B32" s="3" t="s">
        <v>108</v>
      </c>
      <c r="C32" s="4">
        <v>34114</v>
      </c>
      <c r="D32" s="3">
        <v>29</v>
      </c>
      <c r="E32" s="2" t="s">
        <v>115</v>
      </c>
      <c r="F32" s="3" t="s">
        <v>122</v>
      </c>
      <c r="G32" s="3" t="s">
        <v>125</v>
      </c>
      <c r="H32" s="5">
        <v>2225</v>
      </c>
      <c r="I32" s="6">
        <v>0.30029331851463015</v>
      </c>
      <c r="J32" s="6">
        <v>0.72440743478009695</v>
      </c>
      <c r="K32" s="5">
        <v>22733</v>
      </c>
      <c r="L32" s="3" t="s">
        <v>126</v>
      </c>
      <c r="M32" s="34">
        <v>13</v>
      </c>
      <c r="N32" s="45" t="str">
        <f t="shared" si="0"/>
        <v>caceres.par1993@miempresa.com</v>
      </c>
      <c r="O32" s="34" t="str">
        <f t="shared" si="1"/>
        <v>EXCELENTE</v>
      </c>
      <c r="P32" s="34" t="b">
        <f>OR(H32&gt;AVERAGE(Tabla2[SUELDO]),K32&gt;AVERAGE(Tabla2[VENTAS MENSUALES]))</f>
        <v>1</v>
      </c>
      <c r="Q32" s="34" t="str">
        <f t="shared" si="2"/>
        <v>NO</v>
      </c>
    </row>
    <row r="33" spans="1:17" x14ac:dyDescent="0.3">
      <c r="A33" s="2" t="s">
        <v>44</v>
      </c>
      <c r="B33" s="3" t="s">
        <v>108</v>
      </c>
      <c r="C33" s="4">
        <v>31199</v>
      </c>
      <c r="D33" s="3">
        <v>37</v>
      </c>
      <c r="E33" s="2" t="s">
        <v>111</v>
      </c>
      <c r="F33" s="3" t="s">
        <v>120</v>
      </c>
      <c r="G33" s="3" t="s">
        <v>125</v>
      </c>
      <c r="H33" s="5">
        <v>2025</v>
      </c>
      <c r="I33" s="6">
        <v>0.29603115319615209</v>
      </c>
      <c r="J33" s="6">
        <v>0.73637970765097682</v>
      </c>
      <c r="K33" s="5">
        <v>15154</v>
      </c>
      <c r="L33" s="3" t="s">
        <v>126</v>
      </c>
      <c r="M33" s="34">
        <v>12</v>
      </c>
      <c r="N33" s="45" t="str">
        <f t="shared" si="0"/>
        <v>rios.vel1985@miempresa.com</v>
      </c>
      <c r="O33" s="34" t="str">
        <f t="shared" si="1"/>
        <v>MALO</v>
      </c>
      <c r="P33" s="34" t="b">
        <f>OR(H33&gt;AVERAGE(Tabla2[SUELDO]),K33&gt;AVERAGE(Tabla2[VENTAS MENSUALES]))</f>
        <v>1</v>
      </c>
      <c r="Q33" s="34" t="str">
        <f t="shared" si="2"/>
        <v>NO</v>
      </c>
    </row>
    <row r="34" spans="1:17" x14ac:dyDescent="0.3">
      <c r="A34" s="2" t="s">
        <v>45</v>
      </c>
      <c r="B34" s="3" t="s">
        <v>107</v>
      </c>
      <c r="C34" s="4">
        <v>30517</v>
      </c>
      <c r="D34" s="3">
        <v>39</v>
      </c>
      <c r="E34" s="2" t="s">
        <v>115</v>
      </c>
      <c r="F34" s="3" t="s">
        <v>121</v>
      </c>
      <c r="G34" s="3" t="s">
        <v>123</v>
      </c>
      <c r="H34" s="5">
        <v>2175</v>
      </c>
      <c r="I34" s="6">
        <v>0.29712547626047769</v>
      </c>
      <c r="J34" s="6">
        <v>0.71076323198834479</v>
      </c>
      <c r="K34" s="5">
        <v>0</v>
      </c>
      <c r="L34" s="3" t="s">
        <v>126</v>
      </c>
      <c r="M34" s="34">
        <v>6</v>
      </c>
      <c r="N34" s="45" t="str">
        <f t="shared" ref="N34:N65" si="3">_xlfn.CONCAT(LOWER(MID(A34,1,SEARCH(" ",A34)-1)),".",LOWER(MID(A34,SEARCH(" ",A34)+1,3)),YEAR(C34),"@miempresa.com")</f>
        <v>carrascal.sif1983@miempresa.com</v>
      </c>
      <c r="O34" s="34" t="str">
        <f t="shared" ref="O34:O65" si="4">IF(G34="Ventas",IF(K34&lt;=13000,"MUY MALO",IF(K34&lt;=16000,"MALO",IF(K34&lt;=19000,"REGULAR",IF(K34&lt;=22000,"BUENO",IF(K34&lt;=25000,"EXCELENTE","FUERA DE RANGO")))))," --")</f>
        <v xml:space="preserve"> --</v>
      </c>
      <c r="P34" s="34" t="b">
        <f>OR(H34&gt;AVERAGE(Tabla2[SUELDO]),K34&gt;AVERAGE(Tabla2[VENTAS MENSUALES]))</f>
        <v>1</v>
      </c>
      <c r="Q34" s="34" t="str">
        <f t="shared" ref="Q34:Q65" si="5">IF(L34="SI",IF(M34&lt;=10,"SI","NO"),"--")</f>
        <v>SI</v>
      </c>
    </row>
    <row r="35" spans="1:17" x14ac:dyDescent="0.3">
      <c r="A35" s="2" t="s">
        <v>46</v>
      </c>
      <c r="B35" s="3" t="s">
        <v>107</v>
      </c>
      <c r="C35" s="4">
        <v>26895</v>
      </c>
      <c r="D35" s="3">
        <v>49</v>
      </c>
      <c r="E35" s="2" t="s">
        <v>118</v>
      </c>
      <c r="F35" s="3" t="s">
        <v>122</v>
      </c>
      <c r="G35" s="3" t="s">
        <v>125</v>
      </c>
      <c r="H35" s="5">
        <v>2225</v>
      </c>
      <c r="I35" s="6">
        <v>0.32162978009674792</v>
      </c>
      <c r="J35" s="6">
        <v>0.73793268239150167</v>
      </c>
      <c r="K35" s="5">
        <v>20593</v>
      </c>
      <c r="L35" s="3" t="s">
        <v>127</v>
      </c>
      <c r="M35" s="34">
        <v>0</v>
      </c>
      <c r="N35" s="45" t="str">
        <f t="shared" si="3"/>
        <v>perdomo.and1973@miempresa.com</v>
      </c>
      <c r="O35" s="34" t="str">
        <f t="shared" si="4"/>
        <v>BUENO</v>
      </c>
      <c r="P35" s="34" t="b">
        <f>OR(H35&gt;AVERAGE(Tabla2[SUELDO]),K35&gt;AVERAGE(Tabla2[VENTAS MENSUALES]))</f>
        <v>1</v>
      </c>
      <c r="Q35" s="34" t="str">
        <f t="shared" si="5"/>
        <v>--</v>
      </c>
    </row>
    <row r="36" spans="1:17" x14ac:dyDescent="0.3">
      <c r="A36" s="2" t="s">
        <v>47</v>
      </c>
      <c r="B36" s="3" t="s">
        <v>107</v>
      </c>
      <c r="C36" s="4">
        <v>35916</v>
      </c>
      <c r="D36" s="3">
        <v>24</v>
      </c>
      <c r="E36" s="2" t="s">
        <v>118</v>
      </c>
      <c r="F36" s="3" t="s">
        <v>120</v>
      </c>
      <c r="G36" s="3" t="s">
        <v>125</v>
      </c>
      <c r="H36" s="5">
        <v>2025</v>
      </c>
      <c r="I36" s="6">
        <v>0.30309476133314489</v>
      </c>
      <c r="J36" s="6">
        <v>0.77335383013091774</v>
      </c>
      <c r="K36" s="5">
        <v>17178</v>
      </c>
      <c r="L36" s="3" t="s">
        <v>127</v>
      </c>
      <c r="M36" s="34">
        <v>0</v>
      </c>
      <c r="N36" s="45" t="str">
        <f t="shared" si="3"/>
        <v>lopez.nav1998@miempresa.com</v>
      </c>
      <c r="O36" s="34" t="str">
        <f t="shared" si="4"/>
        <v>REGULAR</v>
      </c>
      <c r="P36" s="34" t="b">
        <f>OR(H36&gt;AVERAGE(Tabla2[SUELDO]),K36&gt;AVERAGE(Tabla2[VENTAS MENSUALES]))</f>
        <v>1</v>
      </c>
      <c r="Q36" s="34" t="str">
        <f t="shared" si="5"/>
        <v>--</v>
      </c>
    </row>
    <row r="37" spans="1:17" x14ac:dyDescent="0.3">
      <c r="A37" s="2" t="s">
        <v>48</v>
      </c>
      <c r="B37" s="3" t="s">
        <v>107</v>
      </c>
      <c r="C37" s="4">
        <v>28400</v>
      </c>
      <c r="D37" s="3">
        <v>45</v>
      </c>
      <c r="E37" s="2" t="s">
        <v>112</v>
      </c>
      <c r="F37" s="3" t="s">
        <v>121</v>
      </c>
      <c r="G37" s="3" t="s">
        <v>124</v>
      </c>
      <c r="H37" s="5">
        <v>1775</v>
      </c>
      <c r="I37" s="6">
        <v>0.29209623221721903</v>
      </c>
      <c r="J37" s="6">
        <v>0.71103169776517539</v>
      </c>
      <c r="K37" s="5">
        <v>0</v>
      </c>
      <c r="L37" s="3" t="s">
        <v>126</v>
      </c>
      <c r="M37" s="34">
        <v>6</v>
      </c>
      <c r="N37" s="45" t="str">
        <f t="shared" si="3"/>
        <v>huayunga.tam1977@miempresa.com</v>
      </c>
      <c r="O37" s="34" t="str">
        <f t="shared" si="4"/>
        <v xml:space="preserve"> --</v>
      </c>
      <c r="P37" s="34" t="b">
        <f>OR(H37&gt;AVERAGE(Tabla2[SUELDO]),K37&gt;AVERAGE(Tabla2[VENTAS MENSUALES]))</f>
        <v>0</v>
      </c>
      <c r="Q37" s="34" t="str">
        <f t="shared" si="5"/>
        <v>SI</v>
      </c>
    </row>
    <row r="38" spans="1:17" x14ac:dyDescent="0.3">
      <c r="A38" s="2" t="s">
        <v>49</v>
      </c>
      <c r="B38" s="3" t="s">
        <v>108</v>
      </c>
      <c r="C38" s="4">
        <v>31690</v>
      </c>
      <c r="D38" s="3">
        <v>36</v>
      </c>
      <c r="E38" s="2" t="s">
        <v>111</v>
      </c>
      <c r="F38" s="3" t="s">
        <v>121</v>
      </c>
      <c r="G38" s="3" t="s">
        <v>125</v>
      </c>
      <c r="H38" s="5">
        <v>1825</v>
      </c>
      <c r="I38" s="6">
        <v>0.31476435212807669</v>
      </c>
      <c r="J38" s="6">
        <v>0.72014747363037079</v>
      </c>
      <c r="K38" s="5">
        <v>10686</v>
      </c>
      <c r="L38" s="3" t="s">
        <v>126</v>
      </c>
      <c r="M38" s="34">
        <v>1</v>
      </c>
      <c r="N38" s="45" t="str">
        <f t="shared" si="3"/>
        <v>arevalo.flo1986@miempresa.com</v>
      </c>
      <c r="O38" s="34" t="str">
        <f t="shared" si="4"/>
        <v>MUY MALO</v>
      </c>
      <c r="P38" s="34" t="b">
        <f>OR(H38&gt;AVERAGE(Tabla2[SUELDO]),K38&gt;AVERAGE(Tabla2[VENTAS MENSUALES]))</f>
        <v>1</v>
      </c>
      <c r="Q38" s="34" t="str">
        <f t="shared" si="5"/>
        <v>SI</v>
      </c>
    </row>
    <row r="39" spans="1:17" x14ac:dyDescent="0.3">
      <c r="A39" s="2" t="s">
        <v>49</v>
      </c>
      <c r="B39" s="3" t="s">
        <v>108</v>
      </c>
      <c r="C39" s="4">
        <v>31836</v>
      </c>
      <c r="D39" s="3">
        <v>36</v>
      </c>
      <c r="E39" s="2" t="s">
        <v>110</v>
      </c>
      <c r="F39" s="3" t="s">
        <v>121</v>
      </c>
      <c r="G39" s="3" t="s">
        <v>125</v>
      </c>
      <c r="H39" s="5">
        <v>1825</v>
      </c>
      <c r="I39" s="6">
        <v>0.31489564673017811</v>
      </c>
      <c r="J39" s="6">
        <v>0.71608712108323636</v>
      </c>
      <c r="K39" s="5">
        <v>24978</v>
      </c>
      <c r="L39" s="3" t="s">
        <v>126</v>
      </c>
      <c r="M39" s="34">
        <v>12</v>
      </c>
      <c r="N39" s="45" t="str">
        <f t="shared" si="3"/>
        <v>arevalo.flo1987@miempresa.com</v>
      </c>
      <c r="O39" s="34" t="str">
        <f t="shared" si="4"/>
        <v>EXCELENTE</v>
      </c>
      <c r="P39" s="34" t="b">
        <f>OR(H39&gt;AVERAGE(Tabla2[SUELDO]),K39&gt;AVERAGE(Tabla2[VENTAS MENSUALES]))</f>
        <v>1</v>
      </c>
      <c r="Q39" s="34" t="str">
        <f t="shared" si="5"/>
        <v>NO</v>
      </c>
    </row>
    <row r="40" spans="1:17" x14ac:dyDescent="0.3">
      <c r="A40" s="2" t="s">
        <v>49</v>
      </c>
      <c r="B40" s="3" t="s">
        <v>108</v>
      </c>
      <c r="C40" s="4">
        <v>35215</v>
      </c>
      <c r="D40" s="3">
        <v>26</v>
      </c>
      <c r="E40" s="2" t="s">
        <v>119</v>
      </c>
      <c r="F40" s="3" t="s">
        <v>120</v>
      </c>
      <c r="G40" s="3" t="s">
        <v>125</v>
      </c>
      <c r="H40" s="5">
        <v>2025</v>
      </c>
      <c r="I40" s="6">
        <v>0.29992116988611139</v>
      </c>
      <c r="J40" s="6">
        <v>0.76421019486752528</v>
      </c>
      <c r="K40" s="5">
        <v>21424</v>
      </c>
      <c r="L40" s="3" t="s">
        <v>127</v>
      </c>
      <c r="M40" s="34">
        <v>0</v>
      </c>
      <c r="N40" s="45" t="str">
        <f t="shared" si="3"/>
        <v>arevalo.flo1996@miempresa.com</v>
      </c>
      <c r="O40" s="34" t="str">
        <f t="shared" si="4"/>
        <v>BUENO</v>
      </c>
      <c r="P40" s="34" t="b">
        <f>OR(H40&gt;AVERAGE(Tabla2[SUELDO]),K40&gt;AVERAGE(Tabla2[VENTAS MENSUALES]))</f>
        <v>1</v>
      </c>
      <c r="Q40" s="34" t="str">
        <f t="shared" si="5"/>
        <v>--</v>
      </c>
    </row>
    <row r="41" spans="1:17" x14ac:dyDescent="0.3">
      <c r="A41" s="2" t="s">
        <v>50</v>
      </c>
      <c r="B41" s="3" t="s">
        <v>107</v>
      </c>
      <c r="C41" s="4">
        <v>30625</v>
      </c>
      <c r="D41" s="3">
        <v>39</v>
      </c>
      <c r="E41" s="2" t="s">
        <v>111</v>
      </c>
      <c r="F41" s="3" t="s">
        <v>122</v>
      </c>
      <c r="G41" s="3" t="s">
        <v>124</v>
      </c>
      <c r="H41" s="5">
        <v>2175</v>
      </c>
      <c r="I41" s="6">
        <v>0.32542874527417059</v>
      </c>
      <c r="J41" s="6">
        <v>0.74892346149425526</v>
      </c>
      <c r="K41" s="5">
        <v>0</v>
      </c>
      <c r="L41" s="3" t="s">
        <v>127</v>
      </c>
      <c r="M41" s="34">
        <v>0</v>
      </c>
      <c r="N41" s="45" t="str">
        <f t="shared" si="3"/>
        <v>nilsson.pez1983@miempresa.com</v>
      </c>
      <c r="O41" s="34" t="str">
        <f t="shared" si="4"/>
        <v xml:space="preserve"> --</v>
      </c>
      <c r="P41" s="34" t="b">
        <f>OR(H41&gt;AVERAGE(Tabla2[SUELDO]),K41&gt;AVERAGE(Tabla2[VENTAS MENSUALES]))</f>
        <v>1</v>
      </c>
      <c r="Q41" s="34" t="str">
        <f t="shared" si="5"/>
        <v>--</v>
      </c>
    </row>
    <row r="42" spans="1:17" x14ac:dyDescent="0.3">
      <c r="A42" s="2" t="s">
        <v>51</v>
      </c>
      <c r="B42" s="3" t="s">
        <v>107</v>
      </c>
      <c r="C42" s="4">
        <v>26962</v>
      </c>
      <c r="D42" s="3">
        <v>49</v>
      </c>
      <c r="E42" s="2" t="s">
        <v>115</v>
      </c>
      <c r="F42" s="3" t="s">
        <v>120</v>
      </c>
      <c r="G42" s="3" t="s">
        <v>123</v>
      </c>
      <c r="H42" s="5">
        <v>2375</v>
      </c>
      <c r="I42" s="6">
        <v>0.30496993532759192</v>
      </c>
      <c r="J42" s="6">
        <v>0.70942682003511837</v>
      </c>
      <c r="K42" s="5">
        <v>0</v>
      </c>
      <c r="L42" s="3" t="s">
        <v>127</v>
      </c>
      <c r="M42" s="34">
        <v>0</v>
      </c>
      <c r="N42" s="45" t="str">
        <f t="shared" si="3"/>
        <v>lopez.enc1973@miempresa.com</v>
      </c>
      <c r="O42" s="34" t="str">
        <f t="shared" si="4"/>
        <v xml:space="preserve"> --</v>
      </c>
      <c r="P42" s="34" t="b">
        <f>OR(H42&gt;AVERAGE(Tabla2[SUELDO]),K42&gt;AVERAGE(Tabla2[VENTAS MENSUALES]))</f>
        <v>1</v>
      </c>
      <c r="Q42" s="34" t="str">
        <f t="shared" si="5"/>
        <v>--</v>
      </c>
    </row>
    <row r="43" spans="1:17" x14ac:dyDescent="0.3">
      <c r="A43" s="2" t="s">
        <v>52</v>
      </c>
      <c r="B43" s="3" t="s">
        <v>108</v>
      </c>
      <c r="C43" s="4">
        <v>31546</v>
      </c>
      <c r="D43" s="3">
        <v>36</v>
      </c>
      <c r="E43" s="2" t="s">
        <v>115</v>
      </c>
      <c r="F43" s="3" t="s">
        <v>121</v>
      </c>
      <c r="G43" s="3" t="s">
        <v>125</v>
      </c>
      <c r="H43" s="5">
        <v>1825</v>
      </c>
      <c r="I43" s="6">
        <v>0.31530281870510929</v>
      </c>
      <c r="J43" s="6">
        <v>0.71059246664334341</v>
      </c>
      <c r="K43" s="5">
        <v>18546</v>
      </c>
      <c r="L43" s="3" t="s">
        <v>127</v>
      </c>
      <c r="M43" s="34">
        <v>0</v>
      </c>
      <c r="N43" s="45" t="str">
        <f t="shared" si="3"/>
        <v>rios.gon1986@miempresa.com</v>
      </c>
      <c r="O43" s="34" t="str">
        <f t="shared" si="4"/>
        <v>REGULAR</v>
      </c>
      <c r="P43" s="34" t="b">
        <f>OR(H43&gt;AVERAGE(Tabla2[SUELDO]),K43&gt;AVERAGE(Tabla2[VENTAS MENSUALES]))</f>
        <v>1</v>
      </c>
      <c r="Q43" s="34" t="str">
        <f t="shared" si="5"/>
        <v>--</v>
      </c>
    </row>
    <row r="44" spans="1:17" x14ac:dyDescent="0.3">
      <c r="A44" s="2" t="s">
        <v>53</v>
      </c>
      <c r="B44" s="3" t="s">
        <v>109</v>
      </c>
      <c r="C44" s="4">
        <v>35790</v>
      </c>
      <c r="D44" s="3">
        <v>25</v>
      </c>
      <c r="E44" s="2" t="s">
        <v>113</v>
      </c>
      <c r="F44" s="3" t="s">
        <v>122</v>
      </c>
      <c r="G44" s="3" t="s">
        <v>124</v>
      </c>
      <c r="H44" s="5">
        <v>2175</v>
      </c>
      <c r="I44" s="6">
        <v>0.29336890425278228</v>
      </c>
      <c r="J44" s="6">
        <v>0.78948916404685876</v>
      </c>
      <c r="K44" s="5">
        <v>0</v>
      </c>
      <c r="L44" s="3" t="s">
        <v>126</v>
      </c>
      <c r="M44" s="34">
        <v>3</v>
      </c>
      <c r="N44" s="45" t="str">
        <f t="shared" si="3"/>
        <v>ochoa.fal1997@miempresa.com</v>
      </c>
      <c r="O44" s="34" t="str">
        <f t="shared" si="4"/>
        <v xml:space="preserve"> --</v>
      </c>
      <c r="P44" s="34" t="b">
        <f>OR(H44&gt;AVERAGE(Tabla2[SUELDO]),K44&gt;AVERAGE(Tabla2[VENTAS MENSUALES]))</f>
        <v>1</v>
      </c>
      <c r="Q44" s="34" t="str">
        <f t="shared" si="5"/>
        <v>SI</v>
      </c>
    </row>
    <row r="45" spans="1:17" x14ac:dyDescent="0.3">
      <c r="A45" s="2" t="s">
        <v>54</v>
      </c>
      <c r="B45" s="3" t="s">
        <v>109</v>
      </c>
      <c r="C45" s="4">
        <v>28556</v>
      </c>
      <c r="D45" s="3">
        <v>45</v>
      </c>
      <c r="E45" s="2" t="s">
        <v>110</v>
      </c>
      <c r="F45" s="3" t="s">
        <v>122</v>
      </c>
      <c r="G45" s="3" t="s">
        <v>123</v>
      </c>
      <c r="H45" s="5">
        <v>2575</v>
      </c>
      <c r="I45" s="6">
        <v>0.29513774305741114</v>
      </c>
      <c r="J45" s="6">
        <v>0.79381284248670914</v>
      </c>
      <c r="K45" s="5">
        <v>0</v>
      </c>
      <c r="L45" s="3" t="s">
        <v>127</v>
      </c>
      <c r="M45" s="34">
        <v>0</v>
      </c>
      <c r="N45" s="45" t="str">
        <f t="shared" si="3"/>
        <v>silva.por1978@miempresa.com</v>
      </c>
      <c r="O45" s="34" t="str">
        <f t="shared" si="4"/>
        <v xml:space="preserve"> --</v>
      </c>
      <c r="P45" s="34" t="b">
        <f>OR(H45&gt;AVERAGE(Tabla2[SUELDO]),K45&gt;AVERAGE(Tabla2[VENTAS MENSUALES]))</f>
        <v>1</v>
      </c>
      <c r="Q45" s="34" t="str">
        <f t="shared" si="5"/>
        <v>--</v>
      </c>
    </row>
    <row r="46" spans="1:17" x14ac:dyDescent="0.3">
      <c r="A46" s="2" t="s">
        <v>55</v>
      </c>
      <c r="B46" s="3" t="s">
        <v>109</v>
      </c>
      <c r="C46" s="4">
        <v>29159</v>
      </c>
      <c r="D46" s="3">
        <v>43</v>
      </c>
      <c r="E46" s="2" t="s">
        <v>117</v>
      </c>
      <c r="F46" s="3" t="s">
        <v>120</v>
      </c>
      <c r="G46" s="3" t="s">
        <v>124</v>
      </c>
      <c r="H46" s="5">
        <v>1975</v>
      </c>
      <c r="I46" s="6">
        <v>0.30724758916973904</v>
      </c>
      <c r="J46" s="6">
        <v>0.77897955781801687</v>
      </c>
      <c r="K46" s="5">
        <v>0</v>
      </c>
      <c r="L46" s="3" t="s">
        <v>127</v>
      </c>
      <c r="M46" s="34">
        <v>0</v>
      </c>
      <c r="N46" s="45" t="str">
        <f t="shared" si="3"/>
        <v>serruche.veg1979@miempresa.com</v>
      </c>
      <c r="O46" s="34" t="str">
        <f t="shared" si="4"/>
        <v xml:space="preserve"> --</v>
      </c>
      <c r="P46" s="34" t="b">
        <f>OR(H46&gt;AVERAGE(Tabla2[SUELDO]),K46&gt;AVERAGE(Tabla2[VENTAS MENSUALES]))</f>
        <v>0</v>
      </c>
      <c r="Q46" s="34" t="str">
        <f t="shared" si="5"/>
        <v>--</v>
      </c>
    </row>
    <row r="47" spans="1:17" x14ac:dyDescent="0.3">
      <c r="A47" s="2" t="s">
        <v>56</v>
      </c>
      <c r="B47" s="3" t="s">
        <v>107</v>
      </c>
      <c r="C47" s="4">
        <v>33381</v>
      </c>
      <c r="D47" s="3">
        <v>31</v>
      </c>
      <c r="E47" s="2" t="s">
        <v>116</v>
      </c>
      <c r="F47" s="3" t="s">
        <v>121</v>
      </c>
      <c r="G47" s="3" t="s">
        <v>125</v>
      </c>
      <c r="H47" s="5">
        <v>1825</v>
      </c>
      <c r="I47" s="6">
        <v>0.33272666914829385</v>
      </c>
      <c r="J47" s="6">
        <v>0.71368937738627192</v>
      </c>
      <c r="K47" s="5">
        <v>16518</v>
      </c>
      <c r="L47" s="3" t="s">
        <v>127</v>
      </c>
      <c r="M47" s="34">
        <v>0</v>
      </c>
      <c r="N47" s="45" t="str">
        <f t="shared" si="3"/>
        <v>rodriguez.rio1991@miempresa.com</v>
      </c>
      <c r="O47" s="34" t="str">
        <f t="shared" si="4"/>
        <v>REGULAR</v>
      </c>
      <c r="P47" s="34" t="b">
        <f>OR(H47&gt;AVERAGE(Tabla2[SUELDO]),K47&gt;AVERAGE(Tabla2[VENTAS MENSUALES]))</f>
        <v>1</v>
      </c>
      <c r="Q47" s="34" t="str">
        <f t="shared" si="5"/>
        <v>--</v>
      </c>
    </row>
    <row r="48" spans="1:17" x14ac:dyDescent="0.3">
      <c r="A48" s="2" t="s">
        <v>57</v>
      </c>
      <c r="B48" s="3" t="s">
        <v>107</v>
      </c>
      <c r="C48" s="4">
        <v>27492</v>
      </c>
      <c r="D48" s="3">
        <v>48</v>
      </c>
      <c r="E48" s="2" t="s">
        <v>113</v>
      </c>
      <c r="F48" s="3" t="s">
        <v>122</v>
      </c>
      <c r="G48" s="3" t="s">
        <v>124</v>
      </c>
      <c r="H48" s="5">
        <v>2175</v>
      </c>
      <c r="I48" s="6">
        <v>0.31180963714516541</v>
      </c>
      <c r="J48" s="6">
        <v>0.74262300111727197</v>
      </c>
      <c r="K48" s="5">
        <v>0</v>
      </c>
      <c r="L48" s="3" t="s">
        <v>126</v>
      </c>
      <c r="M48" s="34">
        <v>5</v>
      </c>
      <c r="N48" s="45" t="str">
        <f t="shared" si="3"/>
        <v>tangoa.mur1975@miempresa.com</v>
      </c>
      <c r="O48" s="34" t="str">
        <f t="shared" si="4"/>
        <v xml:space="preserve"> --</v>
      </c>
      <c r="P48" s="34" t="b">
        <f>OR(H48&gt;AVERAGE(Tabla2[SUELDO]),K48&gt;AVERAGE(Tabla2[VENTAS MENSUALES]))</f>
        <v>1</v>
      </c>
      <c r="Q48" s="34" t="str">
        <f t="shared" si="5"/>
        <v>SI</v>
      </c>
    </row>
    <row r="49" spans="1:17" x14ac:dyDescent="0.3">
      <c r="A49" s="2" t="s">
        <v>58</v>
      </c>
      <c r="B49" s="3" t="s">
        <v>108</v>
      </c>
      <c r="C49" s="4">
        <v>26382</v>
      </c>
      <c r="D49" s="3">
        <v>51</v>
      </c>
      <c r="E49" s="2" t="s">
        <v>116</v>
      </c>
      <c r="F49" s="3" t="s">
        <v>120</v>
      </c>
      <c r="G49" s="3" t="s">
        <v>125</v>
      </c>
      <c r="H49" s="5">
        <v>2025</v>
      </c>
      <c r="I49" s="6">
        <v>0.30586652911451667</v>
      </c>
      <c r="J49" s="6">
        <v>0.78374589461306621</v>
      </c>
      <c r="K49" s="5">
        <v>17691</v>
      </c>
      <c r="L49" s="3" t="s">
        <v>126</v>
      </c>
      <c r="M49" s="34">
        <v>11</v>
      </c>
      <c r="N49" s="45" t="str">
        <f t="shared" si="3"/>
        <v>lopez.och1972@miempresa.com</v>
      </c>
      <c r="O49" s="34" t="str">
        <f t="shared" si="4"/>
        <v>REGULAR</v>
      </c>
      <c r="P49" s="34" t="b">
        <f>OR(H49&gt;AVERAGE(Tabla2[SUELDO]),K49&gt;AVERAGE(Tabla2[VENTAS MENSUALES]))</f>
        <v>1</v>
      </c>
      <c r="Q49" s="34" t="str">
        <f t="shared" si="5"/>
        <v>NO</v>
      </c>
    </row>
    <row r="50" spans="1:17" x14ac:dyDescent="0.3">
      <c r="A50" s="2" t="s">
        <v>58</v>
      </c>
      <c r="B50" s="3" t="s">
        <v>108</v>
      </c>
      <c r="C50" s="4">
        <v>35883</v>
      </c>
      <c r="D50" s="3">
        <v>25</v>
      </c>
      <c r="E50" s="2" t="s">
        <v>111</v>
      </c>
      <c r="F50" s="3" t="s">
        <v>122</v>
      </c>
      <c r="G50" s="3" t="s">
        <v>125</v>
      </c>
      <c r="H50" s="5">
        <v>2225</v>
      </c>
      <c r="I50" s="6">
        <v>0.30347228076391619</v>
      </c>
      <c r="J50" s="6">
        <v>0.80028771589936143</v>
      </c>
      <c r="K50" s="5">
        <v>12279</v>
      </c>
      <c r="L50" s="3" t="s">
        <v>126</v>
      </c>
      <c r="M50" s="34">
        <v>15</v>
      </c>
      <c r="N50" s="45" t="str">
        <f t="shared" si="3"/>
        <v>lopez.och1998@miempresa.com</v>
      </c>
      <c r="O50" s="34" t="str">
        <f t="shared" si="4"/>
        <v>MUY MALO</v>
      </c>
      <c r="P50" s="34" t="b">
        <f>OR(H50&gt;AVERAGE(Tabla2[SUELDO]),K50&gt;AVERAGE(Tabla2[VENTAS MENSUALES]))</f>
        <v>1</v>
      </c>
      <c r="Q50" s="34" t="str">
        <f t="shared" si="5"/>
        <v>NO</v>
      </c>
    </row>
    <row r="51" spans="1:17" x14ac:dyDescent="0.3">
      <c r="A51" s="2" t="s">
        <v>59</v>
      </c>
      <c r="B51" s="3" t="s">
        <v>107</v>
      </c>
      <c r="C51" s="4">
        <v>32716</v>
      </c>
      <c r="D51" s="3">
        <v>33</v>
      </c>
      <c r="E51" s="2" t="s">
        <v>110</v>
      </c>
      <c r="F51" s="3" t="s">
        <v>120</v>
      </c>
      <c r="G51" s="3" t="s">
        <v>123</v>
      </c>
      <c r="H51" s="5">
        <v>2375</v>
      </c>
      <c r="I51" s="6">
        <v>0.2960528040227654</v>
      </c>
      <c r="J51" s="6">
        <v>0.71177669985869252</v>
      </c>
      <c r="K51" s="5">
        <v>0</v>
      </c>
      <c r="L51" s="3" t="s">
        <v>126</v>
      </c>
      <c r="M51" s="34">
        <v>2</v>
      </c>
      <c r="N51" s="45" t="str">
        <f t="shared" si="3"/>
        <v>diaz.gon1989@miempresa.com</v>
      </c>
      <c r="O51" s="34" t="str">
        <f t="shared" si="4"/>
        <v xml:space="preserve"> --</v>
      </c>
      <c r="P51" s="34" t="b">
        <f>OR(H51&gt;AVERAGE(Tabla2[SUELDO]),K51&gt;AVERAGE(Tabla2[VENTAS MENSUALES]))</f>
        <v>1</v>
      </c>
      <c r="Q51" s="34" t="str">
        <f t="shared" si="5"/>
        <v>SI</v>
      </c>
    </row>
    <row r="52" spans="1:17" x14ac:dyDescent="0.3">
      <c r="A52" s="2" t="s">
        <v>60</v>
      </c>
      <c r="B52" s="3" t="s">
        <v>108</v>
      </c>
      <c r="C52" s="4">
        <v>35655</v>
      </c>
      <c r="D52" s="3">
        <v>25</v>
      </c>
      <c r="E52" s="2" t="s">
        <v>114</v>
      </c>
      <c r="F52" s="3" t="s">
        <v>121</v>
      </c>
      <c r="G52" s="3" t="s">
        <v>125</v>
      </c>
      <c r="H52" s="5">
        <v>1825</v>
      </c>
      <c r="I52" s="6">
        <v>0.29558965923066366</v>
      </c>
      <c r="J52" s="6">
        <v>0.81228293104337124</v>
      </c>
      <c r="K52" s="5">
        <v>10189</v>
      </c>
      <c r="L52" s="3" t="s">
        <v>127</v>
      </c>
      <c r="M52" s="34">
        <v>0</v>
      </c>
      <c r="N52" s="45" t="str">
        <f t="shared" si="3"/>
        <v>morris.saa1997@miempresa.com</v>
      </c>
      <c r="O52" s="34" t="str">
        <f t="shared" si="4"/>
        <v>MUY MALO</v>
      </c>
      <c r="P52" s="34" t="b">
        <f>OR(H52&gt;AVERAGE(Tabla2[SUELDO]),K52&gt;AVERAGE(Tabla2[VENTAS MENSUALES]))</f>
        <v>1</v>
      </c>
      <c r="Q52" s="34" t="str">
        <f t="shared" si="5"/>
        <v>--</v>
      </c>
    </row>
    <row r="53" spans="1:17" x14ac:dyDescent="0.3">
      <c r="A53" s="2" t="s">
        <v>61</v>
      </c>
      <c r="B53" s="3" t="s">
        <v>108</v>
      </c>
      <c r="C53" s="4">
        <v>27026</v>
      </c>
      <c r="D53" s="3">
        <v>49</v>
      </c>
      <c r="E53" s="2" t="s">
        <v>110</v>
      </c>
      <c r="F53" s="3" t="s">
        <v>122</v>
      </c>
      <c r="G53" s="3" t="s">
        <v>123</v>
      </c>
      <c r="H53" s="5">
        <v>2575</v>
      </c>
      <c r="I53" s="6">
        <v>0.29861046748072145</v>
      </c>
      <c r="J53" s="6">
        <v>0.75472390839686299</v>
      </c>
      <c r="K53" s="5">
        <v>0</v>
      </c>
      <c r="L53" s="3" t="s">
        <v>127</v>
      </c>
      <c r="M53" s="34">
        <v>0</v>
      </c>
      <c r="N53" s="45" t="str">
        <f t="shared" si="3"/>
        <v>del.agu1973@miempresa.com</v>
      </c>
      <c r="O53" s="34" t="str">
        <f t="shared" si="4"/>
        <v xml:space="preserve"> --</v>
      </c>
      <c r="P53" s="34" t="b">
        <f>OR(H53&gt;AVERAGE(Tabla2[SUELDO]),K53&gt;AVERAGE(Tabla2[VENTAS MENSUALES]))</f>
        <v>1</v>
      </c>
      <c r="Q53" s="34" t="str">
        <f t="shared" si="5"/>
        <v>--</v>
      </c>
    </row>
    <row r="54" spans="1:17" x14ac:dyDescent="0.3">
      <c r="A54" s="2" t="s">
        <v>62</v>
      </c>
      <c r="B54" s="3" t="s">
        <v>108</v>
      </c>
      <c r="C54" s="4">
        <v>31287</v>
      </c>
      <c r="D54" s="3">
        <v>37</v>
      </c>
      <c r="E54" s="2" t="s">
        <v>116</v>
      </c>
      <c r="F54" s="3" t="s">
        <v>122</v>
      </c>
      <c r="G54" s="3" t="s">
        <v>124</v>
      </c>
      <c r="H54" s="5">
        <v>2175</v>
      </c>
      <c r="I54" s="6">
        <v>0.31155356869139528</v>
      </c>
      <c r="J54" s="6">
        <v>0.73848402115998357</v>
      </c>
      <c r="K54" s="5">
        <v>0</v>
      </c>
      <c r="L54" s="3" t="s">
        <v>126</v>
      </c>
      <c r="M54" s="34">
        <v>11</v>
      </c>
      <c r="N54" s="45" t="str">
        <f t="shared" si="3"/>
        <v>sandoval.loz1985@miempresa.com</v>
      </c>
      <c r="O54" s="34" t="str">
        <f t="shared" si="4"/>
        <v xml:space="preserve"> --</v>
      </c>
      <c r="P54" s="34" t="b">
        <f>OR(H54&gt;AVERAGE(Tabla2[SUELDO]),K54&gt;AVERAGE(Tabla2[VENTAS MENSUALES]))</f>
        <v>1</v>
      </c>
      <c r="Q54" s="34" t="str">
        <f t="shared" si="5"/>
        <v>NO</v>
      </c>
    </row>
    <row r="55" spans="1:17" x14ac:dyDescent="0.3">
      <c r="A55" s="2" t="s">
        <v>63</v>
      </c>
      <c r="B55" s="3" t="s">
        <v>108</v>
      </c>
      <c r="C55" s="4">
        <v>30637</v>
      </c>
      <c r="D55" s="3">
        <v>39</v>
      </c>
      <c r="E55" s="2" t="s">
        <v>112</v>
      </c>
      <c r="F55" s="3" t="s">
        <v>120</v>
      </c>
      <c r="G55" s="3" t="s">
        <v>124</v>
      </c>
      <c r="H55" s="5">
        <v>1975</v>
      </c>
      <c r="I55" s="6">
        <v>0.32091765136460337</v>
      </c>
      <c r="J55" s="6">
        <v>0.8091055672074372</v>
      </c>
      <c r="K55" s="5">
        <v>0</v>
      </c>
      <c r="L55" s="3" t="s">
        <v>126</v>
      </c>
      <c r="M55" s="34">
        <v>10</v>
      </c>
      <c r="N55" s="45" t="str">
        <f t="shared" si="3"/>
        <v>portocarrero.rea1983@miempresa.com</v>
      </c>
      <c r="O55" s="34" t="str">
        <f t="shared" si="4"/>
        <v xml:space="preserve"> --</v>
      </c>
      <c r="P55" s="34" t="b">
        <f>OR(H55&gt;AVERAGE(Tabla2[SUELDO]),K55&gt;AVERAGE(Tabla2[VENTAS MENSUALES]))</f>
        <v>0</v>
      </c>
      <c r="Q55" s="34" t="str">
        <f t="shared" si="5"/>
        <v>SI</v>
      </c>
    </row>
    <row r="56" spans="1:17" x14ac:dyDescent="0.3">
      <c r="A56" s="2" t="s">
        <v>64</v>
      </c>
      <c r="B56" s="3" t="s">
        <v>109</v>
      </c>
      <c r="C56" s="4">
        <v>32738</v>
      </c>
      <c r="D56" s="3">
        <v>33</v>
      </c>
      <c r="E56" s="2" t="s">
        <v>117</v>
      </c>
      <c r="F56" s="3" t="s">
        <v>121</v>
      </c>
      <c r="G56" s="3" t="s">
        <v>123</v>
      </c>
      <c r="H56" s="5">
        <v>2175</v>
      </c>
      <c r="I56" s="6">
        <v>0.31179430574264605</v>
      </c>
      <c r="J56" s="6">
        <v>0.7809411431334673</v>
      </c>
      <c r="K56" s="5">
        <v>0</v>
      </c>
      <c r="L56" s="3" t="s">
        <v>127</v>
      </c>
      <c r="M56" s="34">
        <v>0</v>
      </c>
      <c r="N56" s="45" t="str">
        <f t="shared" si="3"/>
        <v>rengifo.del1989@miempresa.com</v>
      </c>
      <c r="O56" s="34" t="str">
        <f t="shared" si="4"/>
        <v xml:space="preserve"> --</v>
      </c>
      <c r="P56" s="34" t="b">
        <f>OR(H56&gt;AVERAGE(Tabla2[SUELDO]),K56&gt;AVERAGE(Tabla2[VENTAS MENSUALES]))</f>
        <v>1</v>
      </c>
      <c r="Q56" s="34" t="str">
        <f t="shared" si="5"/>
        <v>--</v>
      </c>
    </row>
    <row r="57" spans="1:17" x14ac:dyDescent="0.3">
      <c r="A57" s="2" t="s">
        <v>65</v>
      </c>
      <c r="B57" s="3" t="s">
        <v>108</v>
      </c>
      <c r="C57" s="4">
        <v>31535</v>
      </c>
      <c r="D57" s="3">
        <v>36</v>
      </c>
      <c r="E57" s="2" t="s">
        <v>118</v>
      </c>
      <c r="F57" s="3" t="s">
        <v>122</v>
      </c>
      <c r="G57" s="3" t="s">
        <v>123</v>
      </c>
      <c r="H57" s="5">
        <v>2575</v>
      </c>
      <c r="I57" s="6">
        <v>0.32385841309335817</v>
      </c>
      <c r="J57" s="6">
        <v>0.81134664076409235</v>
      </c>
      <c r="K57" s="5">
        <v>0</v>
      </c>
      <c r="L57" s="3" t="s">
        <v>126</v>
      </c>
      <c r="M57" s="34">
        <v>7</v>
      </c>
      <c r="N57" s="45" t="str">
        <f t="shared" si="3"/>
        <v>mera.gom1986@miempresa.com</v>
      </c>
      <c r="O57" s="34" t="str">
        <f t="shared" si="4"/>
        <v xml:space="preserve"> --</v>
      </c>
      <c r="P57" s="34" t="b">
        <f>OR(H57&gt;AVERAGE(Tabla2[SUELDO]),K57&gt;AVERAGE(Tabla2[VENTAS MENSUALES]))</f>
        <v>1</v>
      </c>
      <c r="Q57" s="34" t="str">
        <f t="shared" si="5"/>
        <v>SI</v>
      </c>
    </row>
    <row r="58" spans="1:17" x14ac:dyDescent="0.3">
      <c r="A58" s="2" t="s">
        <v>66</v>
      </c>
      <c r="B58" s="3" t="s">
        <v>109</v>
      </c>
      <c r="C58" s="4">
        <v>30948</v>
      </c>
      <c r="D58" s="3">
        <v>38</v>
      </c>
      <c r="E58" s="2" t="s">
        <v>113</v>
      </c>
      <c r="F58" s="3" t="s">
        <v>122</v>
      </c>
      <c r="G58" s="3" t="s">
        <v>125</v>
      </c>
      <c r="H58" s="5">
        <v>2225</v>
      </c>
      <c r="I58" s="6">
        <v>0.32107913561329637</v>
      </c>
      <c r="J58" s="6">
        <v>0.73784764866773256</v>
      </c>
      <c r="K58" s="5">
        <v>18304</v>
      </c>
      <c r="L58" s="3" t="s">
        <v>127</v>
      </c>
      <c r="M58" s="34">
        <v>0</v>
      </c>
      <c r="N58" s="45" t="str">
        <f t="shared" si="3"/>
        <v>coblentz.del1984@miempresa.com</v>
      </c>
      <c r="O58" s="34" t="str">
        <f t="shared" si="4"/>
        <v>REGULAR</v>
      </c>
      <c r="P58" s="34" t="b">
        <f>OR(H58&gt;AVERAGE(Tabla2[SUELDO]),K58&gt;AVERAGE(Tabla2[VENTAS MENSUALES]))</f>
        <v>1</v>
      </c>
      <c r="Q58" s="34" t="str">
        <f t="shared" si="5"/>
        <v>--</v>
      </c>
    </row>
    <row r="59" spans="1:17" x14ac:dyDescent="0.3">
      <c r="A59" s="2" t="s">
        <v>67</v>
      </c>
      <c r="B59" s="3" t="s">
        <v>108</v>
      </c>
      <c r="C59" s="4">
        <v>28823</v>
      </c>
      <c r="D59" s="3">
        <v>44</v>
      </c>
      <c r="E59" s="2" t="s">
        <v>115</v>
      </c>
      <c r="F59" s="3" t="s">
        <v>120</v>
      </c>
      <c r="G59" s="3" t="s">
        <v>124</v>
      </c>
      <c r="H59" s="5">
        <v>1975</v>
      </c>
      <c r="I59" s="6">
        <v>0.30595564107892231</v>
      </c>
      <c r="J59" s="6">
        <v>0.73456784191748259</v>
      </c>
      <c r="K59" s="5">
        <v>0</v>
      </c>
      <c r="L59" s="3" t="s">
        <v>127</v>
      </c>
      <c r="M59" s="34">
        <v>0</v>
      </c>
      <c r="N59" s="45" t="str">
        <f t="shared" si="3"/>
        <v>almeyda.pan1978@miempresa.com</v>
      </c>
      <c r="O59" s="34" t="str">
        <f t="shared" si="4"/>
        <v xml:space="preserve"> --</v>
      </c>
      <c r="P59" s="34" t="b">
        <f>OR(H59&gt;AVERAGE(Tabla2[SUELDO]),K59&gt;AVERAGE(Tabla2[VENTAS MENSUALES]))</f>
        <v>0</v>
      </c>
      <c r="Q59" s="34" t="str">
        <f t="shared" si="5"/>
        <v>--</v>
      </c>
    </row>
    <row r="60" spans="1:17" x14ac:dyDescent="0.3">
      <c r="A60" s="2" t="s">
        <v>68</v>
      </c>
      <c r="B60" s="3" t="s">
        <v>107</v>
      </c>
      <c r="C60" s="4">
        <v>29717</v>
      </c>
      <c r="D60" s="3">
        <v>41</v>
      </c>
      <c r="E60" s="2" t="s">
        <v>119</v>
      </c>
      <c r="F60" s="3" t="s">
        <v>120</v>
      </c>
      <c r="G60" s="3" t="s">
        <v>125</v>
      </c>
      <c r="H60" s="5">
        <v>2025</v>
      </c>
      <c r="I60" s="6">
        <v>0.31403765938831968</v>
      </c>
      <c r="J60" s="6">
        <v>0.77560740343340773</v>
      </c>
      <c r="K60" s="5">
        <v>23371</v>
      </c>
      <c r="L60" s="3" t="s">
        <v>126</v>
      </c>
      <c r="M60" s="34">
        <v>14</v>
      </c>
      <c r="N60" s="45" t="str">
        <f t="shared" si="3"/>
        <v>ruiz.per1981@miempresa.com</v>
      </c>
      <c r="O60" s="34" t="str">
        <f t="shared" si="4"/>
        <v>EXCELENTE</v>
      </c>
      <c r="P60" s="34" t="b">
        <f>OR(H60&gt;AVERAGE(Tabla2[SUELDO]),K60&gt;AVERAGE(Tabla2[VENTAS MENSUALES]))</f>
        <v>1</v>
      </c>
      <c r="Q60" s="34" t="str">
        <f t="shared" si="5"/>
        <v>NO</v>
      </c>
    </row>
    <row r="61" spans="1:17" x14ac:dyDescent="0.3">
      <c r="A61" s="2" t="s">
        <v>69</v>
      </c>
      <c r="B61" s="3" t="s">
        <v>108</v>
      </c>
      <c r="C61" s="4">
        <v>27565</v>
      </c>
      <c r="D61" s="3">
        <v>47</v>
      </c>
      <c r="E61" s="2" t="s">
        <v>117</v>
      </c>
      <c r="F61" s="3" t="s">
        <v>122</v>
      </c>
      <c r="G61" s="3" t="s">
        <v>125</v>
      </c>
      <c r="H61" s="5">
        <v>2225</v>
      </c>
      <c r="I61" s="6">
        <v>0.29174132550196458</v>
      </c>
      <c r="J61" s="6">
        <v>0.74282592677464032</v>
      </c>
      <c r="K61" s="5">
        <v>16118</v>
      </c>
      <c r="L61" s="3" t="s">
        <v>127</v>
      </c>
      <c r="M61" s="34">
        <v>0</v>
      </c>
      <c r="N61" s="45" t="str">
        <f t="shared" si="3"/>
        <v>tuesta.cor1975@miempresa.com</v>
      </c>
      <c r="O61" s="34" t="str">
        <f t="shared" si="4"/>
        <v>REGULAR</v>
      </c>
      <c r="P61" s="34" t="b">
        <f>OR(H61&gt;AVERAGE(Tabla2[SUELDO]),K61&gt;AVERAGE(Tabla2[VENTAS MENSUALES]))</f>
        <v>1</v>
      </c>
      <c r="Q61" s="34" t="str">
        <f t="shared" si="5"/>
        <v>--</v>
      </c>
    </row>
    <row r="62" spans="1:17" x14ac:dyDescent="0.3">
      <c r="A62" s="2" t="s">
        <v>70</v>
      </c>
      <c r="B62" s="3" t="s">
        <v>108</v>
      </c>
      <c r="C62" s="4">
        <v>29015</v>
      </c>
      <c r="D62" s="3">
        <v>43</v>
      </c>
      <c r="E62" s="2" t="s">
        <v>114</v>
      </c>
      <c r="F62" s="3" t="s">
        <v>120</v>
      </c>
      <c r="G62" s="3" t="s">
        <v>123</v>
      </c>
      <c r="H62" s="5">
        <v>2375</v>
      </c>
      <c r="I62" s="6">
        <v>0.3187558056312168</v>
      </c>
      <c r="J62" s="6">
        <v>0.77316983659738503</v>
      </c>
      <c r="K62" s="5">
        <v>0</v>
      </c>
      <c r="L62" s="3" t="s">
        <v>127</v>
      </c>
      <c r="M62" s="34">
        <v>0</v>
      </c>
      <c r="N62" s="45" t="str">
        <f t="shared" si="3"/>
        <v>rengifo.pug1979@miempresa.com</v>
      </c>
      <c r="O62" s="34" t="str">
        <f t="shared" si="4"/>
        <v xml:space="preserve"> --</v>
      </c>
      <c r="P62" s="34" t="b">
        <f>OR(H62&gt;AVERAGE(Tabla2[SUELDO]),K62&gt;AVERAGE(Tabla2[VENTAS MENSUALES]))</f>
        <v>1</v>
      </c>
      <c r="Q62" s="34" t="str">
        <f t="shared" si="5"/>
        <v>--</v>
      </c>
    </row>
    <row r="63" spans="1:17" x14ac:dyDescent="0.3">
      <c r="A63" s="2" t="s">
        <v>71</v>
      </c>
      <c r="B63" s="3" t="s">
        <v>109</v>
      </c>
      <c r="C63" s="4">
        <v>31090</v>
      </c>
      <c r="D63" s="3">
        <v>38</v>
      </c>
      <c r="E63" s="2" t="s">
        <v>119</v>
      </c>
      <c r="F63" s="3" t="s">
        <v>121</v>
      </c>
      <c r="G63" s="3" t="s">
        <v>123</v>
      </c>
      <c r="H63" s="5">
        <v>2175</v>
      </c>
      <c r="I63" s="6">
        <v>0.31219125556647526</v>
      </c>
      <c r="J63" s="6">
        <v>0.7261945158079961</v>
      </c>
      <c r="K63" s="5">
        <v>0</v>
      </c>
      <c r="L63" s="3" t="s">
        <v>127</v>
      </c>
      <c r="M63" s="34">
        <v>0</v>
      </c>
      <c r="N63" s="45" t="str">
        <f t="shared" si="3"/>
        <v>greenwich.pan1985@miempresa.com</v>
      </c>
      <c r="O63" s="34" t="str">
        <f t="shared" si="4"/>
        <v xml:space="preserve"> --</v>
      </c>
      <c r="P63" s="34" t="b">
        <f>OR(H63&gt;AVERAGE(Tabla2[SUELDO]),K63&gt;AVERAGE(Tabla2[VENTAS MENSUALES]))</f>
        <v>1</v>
      </c>
      <c r="Q63" s="34" t="str">
        <f t="shared" si="5"/>
        <v>--</v>
      </c>
    </row>
    <row r="64" spans="1:17" x14ac:dyDescent="0.3">
      <c r="A64" s="2" t="s">
        <v>72</v>
      </c>
      <c r="B64" s="3" t="s">
        <v>107</v>
      </c>
      <c r="C64" s="4">
        <v>29753</v>
      </c>
      <c r="D64" s="3">
        <v>41</v>
      </c>
      <c r="E64" s="2" t="s">
        <v>117</v>
      </c>
      <c r="F64" s="3" t="s">
        <v>122</v>
      </c>
      <c r="G64" s="3" t="s">
        <v>124</v>
      </c>
      <c r="H64" s="5">
        <v>2175</v>
      </c>
      <c r="I64" s="6">
        <v>0.31708924836859997</v>
      </c>
      <c r="J64" s="6">
        <v>0.74801191542527257</v>
      </c>
      <c r="K64" s="5">
        <v>0</v>
      </c>
      <c r="L64" s="3" t="s">
        <v>127</v>
      </c>
      <c r="M64" s="34">
        <v>0</v>
      </c>
      <c r="N64" s="45" t="str">
        <f t="shared" si="3"/>
        <v>saldaña.pez1981@miempresa.com</v>
      </c>
      <c r="O64" s="34" t="str">
        <f t="shared" si="4"/>
        <v xml:space="preserve"> --</v>
      </c>
      <c r="P64" s="34" t="b">
        <f>OR(H64&gt;AVERAGE(Tabla2[SUELDO]),K64&gt;AVERAGE(Tabla2[VENTAS MENSUALES]))</f>
        <v>1</v>
      </c>
      <c r="Q64" s="34" t="str">
        <f t="shared" si="5"/>
        <v>--</v>
      </c>
    </row>
    <row r="65" spans="1:17" x14ac:dyDescent="0.3">
      <c r="A65" s="2" t="s">
        <v>73</v>
      </c>
      <c r="B65" s="3" t="s">
        <v>108</v>
      </c>
      <c r="C65" s="4">
        <v>27357</v>
      </c>
      <c r="D65" s="3">
        <v>48</v>
      </c>
      <c r="E65" s="2" t="s">
        <v>110</v>
      </c>
      <c r="F65" s="3" t="s">
        <v>122</v>
      </c>
      <c r="G65" s="3" t="s">
        <v>124</v>
      </c>
      <c r="H65" s="5">
        <v>2175</v>
      </c>
      <c r="I65" s="6">
        <v>0.32335782348203784</v>
      </c>
      <c r="J65" s="6">
        <v>0.74339352911442724</v>
      </c>
      <c r="K65" s="5">
        <v>0</v>
      </c>
      <c r="L65" s="3" t="s">
        <v>127</v>
      </c>
      <c r="M65" s="34">
        <v>0</v>
      </c>
      <c r="N65" s="45" t="str">
        <f t="shared" si="3"/>
        <v>gutierrez.pac1974@miempresa.com</v>
      </c>
      <c r="O65" s="34" t="str">
        <f t="shared" si="4"/>
        <v xml:space="preserve"> --</v>
      </c>
      <c r="P65" s="34" t="b">
        <f>OR(H65&gt;AVERAGE(Tabla2[SUELDO]),K65&gt;AVERAGE(Tabla2[VENTAS MENSUALES]))</f>
        <v>1</v>
      </c>
      <c r="Q65" s="34" t="str">
        <f t="shared" si="5"/>
        <v>--</v>
      </c>
    </row>
    <row r="66" spans="1:17" x14ac:dyDescent="0.3">
      <c r="A66" s="2" t="s">
        <v>74</v>
      </c>
      <c r="B66" s="3" t="s">
        <v>107</v>
      </c>
      <c r="C66" s="4">
        <v>30292</v>
      </c>
      <c r="D66" s="3">
        <v>40</v>
      </c>
      <c r="E66" s="2" t="s">
        <v>115</v>
      </c>
      <c r="F66" s="3" t="s">
        <v>120</v>
      </c>
      <c r="G66" s="3" t="s">
        <v>125</v>
      </c>
      <c r="H66" s="5">
        <v>2025</v>
      </c>
      <c r="I66" s="6">
        <v>0.31040706319208949</v>
      </c>
      <c r="J66" s="6">
        <v>0.71009395353957305</v>
      </c>
      <c r="K66" s="5">
        <v>10654</v>
      </c>
      <c r="L66" s="3" t="s">
        <v>127</v>
      </c>
      <c r="M66" s="34">
        <v>0</v>
      </c>
      <c r="N66" s="45" t="str">
        <f t="shared" ref="N66:N101" si="6">_xlfn.CONCAT(LOWER(MID(A66,1,SEARCH(" ",A66)-1)),".",LOWER(MID(A66,SEARCH(" ",A66)+1,3)),YEAR(C66),"@miempresa.com")</f>
        <v>echevarria.ing1982@miempresa.com</v>
      </c>
      <c r="O66" s="34" t="str">
        <f t="shared" ref="O66:O101" si="7">IF(G66="Ventas",IF(K66&lt;=13000,"MUY MALO",IF(K66&lt;=16000,"MALO",IF(K66&lt;=19000,"REGULAR",IF(K66&lt;=22000,"BUENO",IF(K66&lt;=25000,"EXCELENTE","FUERA DE RANGO")))))," --")</f>
        <v>MUY MALO</v>
      </c>
      <c r="P66" s="34" t="b">
        <f>OR(H66&gt;AVERAGE(Tabla2[SUELDO]),K66&gt;AVERAGE(Tabla2[VENTAS MENSUALES]))</f>
        <v>1</v>
      </c>
      <c r="Q66" s="34" t="str">
        <f t="shared" ref="Q66:Q101" si="8">IF(L66="SI",IF(M66&lt;=10,"SI","NO"),"--")</f>
        <v>--</v>
      </c>
    </row>
    <row r="67" spans="1:17" x14ac:dyDescent="0.3">
      <c r="A67" s="2" t="s">
        <v>75</v>
      </c>
      <c r="B67" s="3" t="s">
        <v>107</v>
      </c>
      <c r="C67" s="4">
        <v>28392</v>
      </c>
      <c r="D67" s="3">
        <v>45</v>
      </c>
      <c r="E67" s="2" t="s">
        <v>117</v>
      </c>
      <c r="F67" s="3" t="s">
        <v>122</v>
      </c>
      <c r="G67" s="3" t="s">
        <v>123</v>
      </c>
      <c r="H67" s="5">
        <v>2575</v>
      </c>
      <c r="I67" s="6">
        <v>0.32302227392789207</v>
      </c>
      <c r="J67" s="6">
        <v>0.72241222210300471</v>
      </c>
      <c r="K67" s="5">
        <v>0</v>
      </c>
      <c r="L67" s="3" t="s">
        <v>126</v>
      </c>
      <c r="M67" s="34">
        <v>12</v>
      </c>
      <c r="N67" s="45" t="str">
        <f t="shared" si="6"/>
        <v>reyna.mel1977@miempresa.com</v>
      </c>
      <c r="O67" s="34" t="str">
        <f t="shared" si="7"/>
        <v xml:space="preserve"> --</v>
      </c>
      <c r="P67" s="34" t="b">
        <f>OR(H67&gt;AVERAGE(Tabla2[SUELDO]),K67&gt;AVERAGE(Tabla2[VENTAS MENSUALES]))</f>
        <v>1</v>
      </c>
      <c r="Q67" s="34" t="str">
        <f t="shared" si="8"/>
        <v>NO</v>
      </c>
    </row>
    <row r="68" spans="1:17" x14ac:dyDescent="0.3">
      <c r="A68" s="2" t="s">
        <v>76</v>
      </c>
      <c r="B68" s="3" t="s">
        <v>108</v>
      </c>
      <c r="C68" s="4">
        <v>33968</v>
      </c>
      <c r="D68" s="3">
        <v>30</v>
      </c>
      <c r="E68" s="2" t="s">
        <v>115</v>
      </c>
      <c r="F68" s="3" t="s">
        <v>121</v>
      </c>
      <c r="G68" s="3" t="s">
        <v>123</v>
      </c>
      <c r="H68" s="5">
        <v>2175</v>
      </c>
      <c r="I68" s="6">
        <v>0.31789175925152663</v>
      </c>
      <c r="J68" s="6">
        <v>0.75709976116179978</v>
      </c>
      <c r="K68" s="5">
        <v>0</v>
      </c>
      <c r="L68" s="3" t="s">
        <v>127</v>
      </c>
      <c r="M68" s="34">
        <v>0</v>
      </c>
      <c r="N68" s="45" t="str">
        <f t="shared" si="6"/>
        <v>saboya.tor1992@miempresa.com</v>
      </c>
      <c r="O68" s="34" t="str">
        <f t="shared" si="7"/>
        <v xml:space="preserve"> --</v>
      </c>
      <c r="P68" s="34" t="b">
        <f>OR(H68&gt;AVERAGE(Tabla2[SUELDO]),K68&gt;AVERAGE(Tabla2[VENTAS MENSUALES]))</f>
        <v>1</v>
      </c>
      <c r="Q68" s="34" t="str">
        <f t="shared" si="8"/>
        <v>--</v>
      </c>
    </row>
    <row r="69" spans="1:17" x14ac:dyDescent="0.3">
      <c r="A69" s="2" t="s">
        <v>76</v>
      </c>
      <c r="B69" s="3" t="s">
        <v>108</v>
      </c>
      <c r="C69" s="4">
        <v>27744</v>
      </c>
      <c r="D69" s="3">
        <v>47</v>
      </c>
      <c r="E69" s="2" t="s">
        <v>110</v>
      </c>
      <c r="F69" s="3" t="s">
        <v>120</v>
      </c>
      <c r="G69" s="3" t="s">
        <v>125</v>
      </c>
      <c r="H69" s="5">
        <v>2025</v>
      </c>
      <c r="I69" s="6">
        <v>0.31731521303764798</v>
      </c>
      <c r="J69" s="6">
        <v>0.73372275877205229</v>
      </c>
      <c r="K69" s="5">
        <v>15990</v>
      </c>
      <c r="L69" s="3" t="s">
        <v>126</v>
      </c>
      <c r="M69" s="34">
        <v>4</v>
      </c>
      <c r="N69" s="45" t="str">
        <f t="shared" si="6"/>
        <v>saboya.tor1975@miempresa.com</v>
      </c>
      <c r="O69" s="34" t="str">
        <f t="shared" si="7"/>
        <v>MALO</v>
      </c>
      <c r="P69" s="34" t="b">
        <f>OR(H69&gt;AVERAGE(Tabla2[SUELDO]),K69&gt;AVERAGE(Tabla2[VENTAS MENSUALES]))</f>
        <v>1</v>
      </c>
      <c r="Q69" s="34" t="str">
        <f t="shared" si="8"/>
        <v>SI</v>
      </c>
    </row>
    <row r="70" spans="1:17" x14ac:dyDescent="0.3">
      <c r="A70" s="2" t="s">
        <v>77</v>
      </c>
      <c r="B70" s="3" t="s">
        <v>109</v>
      </c>
      <c r="C70" s="4">
        <v>35807</v>
      </c>
      <c r="D70" s="3">
        <v>25</v>
      </c>
      <c r="E70" s="2" t="s">
        <v>113</v>
      </c>
      <c r="F70" s="3" t="s">
        <v>120</v>
      </c>
      <c r="G70" s="3" t="s">
        <v>125</v>
      </c>
      <c r="H70" s="5">
        <v>2025</v>
      </c>
      <c r="I70" s="6">
        <v>0.32006473003346209</v>
      </c>
      <c r="J70" s="6">
        <v>0.7784910011063888</v>
      </c>
      <c r="K70" s="5">
        <v>24342</v>
      </c>
      <c r="L70" s="3" t="s">
        <v>127</v>
      </c>
      <c r="M70" s="34">
        <v>0</v>
      </c>
      <c r="N70" s="45" t="str">
        <f t="shared" si="6"/>
        <v>vela.de 1998@miempresa.com</v>
      </c>
      <c r="O70" s="34" t="str">
        <f t="shared" si="7"/>
        <v>EXCELENTE</v>
      </c>
      <c r="P70" s="34" t="b">
        <f>OR(H70&gt;AVERAGE(Tabla2[SUELDO]),K70&gt;AVERAGE(Tabla2[VENTAS MENSUALES]))</f>
        <v>1</v>
      </c>
      <c r="Q70" s="34" t="str">
        <f t="shared" si="8"/>
        <v>--</v>
      </c>
    </row>
    <row r="71" spans="1:17" x14ac:dyDescent="0.3">
      <c r="A71" s="2" t="s">
        <v>78</v>
      </c>
      <c r="B71" s="3" t="s">
        <v>108</v>
      </c>
      <c r="C71" s="4">
        <v>31018</v>
      </c>
      <c r="D71" s="3">
        <v>38</v>
      </c>
      <c r="E71" s="2" t="s">
        <v>118</v>
      </c>
      <c r="F71" s="3" t="s">
        <v>120</v>
      </c>
      <c r="G71" s="3" t="s">
        <v>124</v>
      </c>
      <c r="H71" s="5">
        <v>1975</v>
      </c>
      <c r="I71" s="6">
        <v>0.29188378746932259</v>
      </c>
      <c r="J71" s="6">
        <v>0.78214513426654841</v>
      </c>
      <c r="K71" s="5">
        <v>0</v>
      </c>
      <c r="L71" s="3" t="s">
        <v>127</v>
      </c>
      <c r="M71" s="34">
        <v>0</v>
      </c>
      <c r="N71" s="45" t="str">
        <f t="shared" si="6"/>
        <v>vasquez.may1984@miempresa.com</v>
      </c>
      <c r="O71" s="34" t="str">
        <f t="shared" si="7"/>
        <v xml:space="preserve"> --</v>
      </c>
      <c r="P71" s="34" t="b">
        <f>OR(H71&gt;AVERAGE(Tabla2[SUELDO]),K71&gt;AVERAGE(Tabla2[VENTAS MENSUALES]))</f>
        <v>0</v>
      </c>
      <c r="Q71" s="34" t="str">
        <f t="shared" si="8"/>
        <v>--</v>
      </c>
    </row>
    <row r="72" spans="1:17" x14ac:dyDescent="0.3">
      <c r="A72" s="2" t="s">
        <v>79</v>
      </c>
      <c r="B72" s="3" t="s">
        <v>108</v>
      </c>
      <c r="C72" s="4">
        <v>32181</v>
      </c>
      <c r="D72" s="3">
        <v>35</v>
      </c>
      <c r="E72" s="2" t="s">
        <v>115</v>
      </c>
      <c r="F72" s="3" t="s">
        <v>121</v>
      </c>
      <c r="G72" s="3" t="s">
        <v>123</v>
      </c>
      <c r="H72" s="5">
        <v>2175</v>
      </c>
      <c r="I72" s="6">
        <v>0.31908099533689149</v>
      </c>
      <c r="J72" s="6">
        <v>0.78027344978954916</v>
      </c>
      <c r="K72" s="5">
        <v>0</v>
      </c>
      <c r="L72" s="3" t="s">
        <v>127</v>
      </c>
      <c r="M72" s="34">
        <v>0</v>
      </c>
      <c r="N72" s="45" t="str">
        <f t="shared" si="6"/>
        <v>quiroz.mon1988@miempresa.com</v>
      </c>
      <c r="O72" s="34" t="str">
        <f t="shared" si="7"/>
        <v xml:space="preserve"> --</v>
      </c>
      <c r="P72" s="34" t="b">
        <f>OR(H72&gt;AVERAGE(Tabla2[SUELDO]),K72&gt;AVERAGE(Tabla2[VENTAS MENSUALES]))</f>
        <v>1</v>
      </c>
      <c r="Q72" s="34" t="str">
        <f t="shared" si="8"/>
        <v>--</v>
      </c>
    </row>
    <row r="73" spans="1:17" x14ac:dyDescent="0.3">
      <c r="A73" s="2" t="s">
        <v>80</v>
      </c>
      <c r="B73" s="3" t="s">
        <v>109</v>
      </c>
      <c r="C73" s="4">
        <v>31847</v>
      </c>
      <c r="D73" s="3">
        <v>36</v>
      </c>
      <c r="E73" s="2" t="s">
        <v>117</v>
      </c>
      <c r="F73" s="3" t="s">
        <v>120</v>
      </c>
      <c r="G73" s="3" t="s">
        <v>124</v>
      </c>
      <c r="H73" s="5">
        <v>1975</v>
      </c>
      <c r="I73" s="6">
        <v>0.32822222979947741</v>
      </c>
      <c r="J73" s="6">
        <v>0.72260783269767515</v>
      </c>
      <c r="K73" s="5">
        <v>0</v>
      </c>
      <c r="L73" s="3" t="s">
        <v>127</v>
      </c>
      <c r="M73" s="34">
        <v>0</v>
      </c>
      <c r="N73" s="45" t="str">
        <f t="shared" si="6"/>
        <v>sanchez.rio1987@miempresa.com</v>
      </c>
      <c r="O73" s="34" t="str">
        <f t="shared" si="7"/>
        <v xml:space="preserve"> --</v>
      </c>
      <c r="P73" s="34" t="b">
        <f>OR(H73&gt;AVERAGE(Tabla2[SUELDO]),K73&gt;AVERAGE(Tabla2[VENTAS MENSUALES]))</f>
        <v>0</v>
      </c>
      <c r="Q73" s="34" t="str">
        <f t="shared" si="8"/>
        <v>--</v>
      </c>
    </row>
    <row r="74" spans="1:17" x14ac:dyDescent="0.3">
      <c r="A74" s="2" t="s">
        <v>81</v>
      </c>
      <c r="B74" s="3" t="s">
        <v>107</v>
      </c>
      <c r="C74" s="4">
        <v>32395</v>
      </c>
      <c r="D74" s="3">
        <v>34</v>
      </c>
      <c r="E74" s="2" t="s">
        <v>118</v>
      </c>
      <c r="F74" s="3" t="s">
        <v>120</v>
      </c>
      <c r="G74" s="3" t="s">
        <v>123</v>
      </c>
      <c r="H74" s="5">
        <v>2375</v>
      </c>
      <c r="I74" s="6">
        <v>0.30491256920745047</v>
      </c>
      <c r="J74" s="6">
        <v>0.8099388458927238</v>
      </c>
      <c r="K74" s="5">
        <v>0</v>
      </c>
      <c r="L74" s="3" t="s">
        <v>126</v>
      </c>
      <c r="M74" s="34">
        <v>6</v>
      </c>
      <c r="N74" s="45" t="str">
        <f t="shared" si="6"/>
        <v>rios.par1988@miempresa.com</v>
      </c>
      <c r="O74" s="34" t="str">
        <f t="shared" si="7"/>
        <v xml:space="preserve"> --</v>
      </c>
      <c r="P74" s="34" t="b">
        <f>OR(H74&gt;AVERAGE(Tabla2[SUELDO]),K74&gt;AVERAGE(Tabla2[VENTAS MENSUALES]))</f>
        <v>1</v>
      </c>
      <c r="Q74" s="34" t="str">
        <f t="shared" si="8"/>
        <v>SI</v>
      </c>
    </row>
    <row r="75" spans="1:17" x14ac:dyDescent="0.3">
      <c r="A75" s="2" t="s">
        <v>82</v>
      </c>
      <c r="B75" s="3" t="s">
        <v>107</v>
      </c>
      <c r="C75" s="4">
        <v>35031</v>
      </c>
      <c r="D75" s="3">
        <v>27</v>
      </c>
      <c r="E75" s="2" t="s">
        <v>113</v>
      </c>
      <c r="F75" s="3" t="s">
        <v>122</v>
      </c>
      <c r="G75" s="3" t="s">
        <v>125</v>
      </c>
      <c r="H75" s="5">
        <v>2225</v>
      </c>
      <c r="I75" s="6">
        <v>0.29597843240123001</v>
      </c>
      <c r="J75" s="6">
        <v>0.78223157507963603</v>
      </c>
      <c r="K75" s="5">
        <v>18025</v>
      </c>
      <c r="L75" s="3" t="s">
        <v>126</v>
      </c>
      <c r="M75" s="34">
        <v>2</v>
      </c>
      <c r="N75" s="45" t="str">
        <f t="shared" si="6"/>
        <v>rios.lay1995@miempresa.com</v>
      </c>
      <c r="O75" s="34" t="str">
        <f t="shared" si="7"/>
        <v>REGULAR</v>
      </c>
      <c r="P75" s="34" t="b">
        <f>OR(H75&gt;AVERAGE(Tabla2[SUELDO]),K75&gt;AVERAGE(Tabla2[VENTAS MENSUALES]))</f>
        <v>1</v>
      </c>
      <c r="Q75" s="34" t="str">
        <f t="shared" si="8"/>
        <v>SI</v>
      </c>
    </row>
    <row r="76" spans="1:17" x14ac:dyDescent="0.3">
      <c r="A76" s="2" t="s">
        <v>83</v>
      </c>
      <c r="B76" s="3" t="s">
        <v>107</v>
      </c>
      <c r="C76" s="4">
        <v>32051</v>
      </c>
      <c r="D76" s="3">
        <v>35</v>
      </c>
      <c r="E76" s="2" t="s">
        <v>111</v>
      </c>
      <c r="F76" s="3" t="s">
        <v>121</v>
      </c>
      <c r="G76" s="3" t="s">
        <v>125</v>
      </c>
      <c r="H76" s="5">
        <v>1825</v>
      </c>
      <c r="I76" s="6">
        <v>0.30427341876103403</v>
      </c>
      <c r="J76" s="6">
        <v>0.78978672414516649</v>
      </c>
      <c r="K76" s="5">
        <v>22276</v>
      </c>
      <c r="L76" s="3" t="s">
        <v>127</v>
      </c>
      <c r="M76" s="34">
        <v>0</v>
      </c>
      <c r="N76" s="45" t="str">
        <f t="shared" si="6"/>
        <v>choy.san1987@miempresa.com</v>
      </c>
      <c r="O76" s="34" t="str">
        <f t="shared" si="7"/>
        <v>EXCELENTE</v>
      </c>
      <c r="P76" s="34" t="b">
        <f>OR(H76&gt;AVERAGE(Tabla2[SUELDO]),K76&gt;AVERAGE(Tabla2[VENTAS MENSUALES]))</f>
        <v>1</v>
      </c>
      <c r="Q76" s="34" t="str">
        <f t="shared" si="8"/>
        <v>--</v>
      </c>
    </row>
    <row r="77" spans="1:17" x14ac:dyDescent="0.3">
      <c r="A77" s="2" t="s">
        <v>84</v>
      </c>
      <c r="B77" s="3" t="s">
        <v>107</v>
      </c>
      <c r="C77" s="4">
        <v>31353</v>
      </c>
      <c r="D77" s="3">
        <v>37</v>
      </c>
      <c r="E77" s="2" t="s">
        <v>115</v>
      </c>
      <c r="F77" s="3" t="s">
        <v>120</v>
      </c>
      <c r="G77" s="3" t="s">
        <v>125</v>
      </c>
      <c r="H77" s="5">
        <v>2025</v>
      </c>
      <c r="I77" s="6">
        <v>0.31098277259117507</v>
      </c>
      <c r="J77" s="6">
        <v>0.72780723876445219</v>
      </c>
      <c r="K77" s="5">
        <v>14450</v>
      </c>
      <c r="L77" s="3" t="s">
        <v>127</v>
      </c>
      <c r="M77" s="34">
        <v>0</v>
      </c>
      <c r="N77" s="45" t="str">
        <f t="shared" si="6"/>
        <v>sanchez.de 1985@miempresa.com</v>
      </c>
      <c r="O77" s="34" t="str">
        <f t="shared" si="7"/>
        <v>MALO</v>
      </c>
      <c r="P77" s="34" t="b">
        <f>OR(H77&gt;AVERAGE(Tabla2[SUELDO]),K77&gt;AVERAGE(Tabla2[VENTAS MENSUALES]))</f>
        <v>1</v>
      </c>
      <c r="Q77" s="34" t="str">
        <f t="shared" si="8"/>
        <v>--</v>
      </c>
    </row>
    <row r="78" spans="1:17" x14ac:dyDescent="0.3">
      <c r="A78" s="2" t="s">
        <v>84</v>
      </c>
      <c r="B78" s="3" t="s">
        <v>108</v>
      </c>
      <c r="C78" s="4">
        <v>27923</v>
      </c>
      <c r="D78" s="3">
        <v>46</v>
      </c>
      <c r="E78" s="2" t="s">
        <v>115</v>
      </c>
      <c r="F78" s="3" t="s">
        <v>122</v>
      </c>
      <c r="G78" s="3" t="s">
        <v>123</v>
      </c>
      <c r="H78" s="5">
        <v>2575</v>
      </c>
      <c r="I78" s="6">
        <v>0.292321044710253</v>
      </c>
      <c r="J78" s="6">
        <v>0.71544451270175924</v>
      </c>
      <c r="K78" s="5">
        <v>0</v>
      </c>
      <c r="L78" s="3" t="s">
        <v>126</v>
      </c>
      <c r="M78" s="34">
        <v>10</v>
      </c>
      <c r="N78" s="45" t="str">
        <f t="shared" si="6"/>
        <v>sanchez.de 1976@miempresa.com</v>
      </c>
      <c r="O78" s="34" t="str">
        <f t="shared" si="7"/>
        <v xml:space="preserve"> --</v>
      </c>
      <c r="P78" s="34" t="b">
        <f>OR(H78&gt;AVERAGE(Tabla2[SUELDO]),K78&gt;AVERAGE(Tabla2[VENTAS MENSUALES]))</f>
        <v>1</v>
      </c>
      <c r="Q78" s="34" t="str">
        <f t="shared" si="8"/>
        <v>SI</v>
      </c>
    </row>
    <row r="79" spans="1:17" x14ac:dyDescent="0.3">
      <c r="A79" s="2" t="s">
        <v>85</v>
      </c>
      <c r="B79" s="3" t="s">
        <v>107</v>
      </c>
      <c r="C79" s="4">
        <v>29445</v>
      </c>
      <c r="D79" s="3">
        <v>42</v>
      </c>
      <c r="E79" s="2" t="s">
        <v>115</v>
      </c>
      <c r="F79" s="3" t="s">
        <v>122</v>
      </c>
      <c r="G79" s="3" t="s">
        <v>123</v>
      </c>
      <c r="H79" s="5">
        <v>2575</v>
      </c>
      <c r="I79" s="6">
        <v>0.31711435567361274</v>
      </c>
      <c r="J79" s="6">
        <v>0.8106605049993294</v>
      </c>
      <c r="K79" s="5">
        <v>0</v>
      </c>
      <c r="L79" s="3" t="s">
        <v>127</v>
      </c>
      <c r="M79" s="34">
        <v>0</v>
      </c>
      <c r="N79" s="45" t="str">
        <f t="shared" si="6"/>
        <v>ozambela.gom1980@miempresa.com</v>
      </c>
      <c r="O79" s="34" t="str">
        <f t="shared" si="7"/>
        <v xml:space="preserve"> --</v>
      </c>
      <c r="P79" s="34" t="b">
        <f>OR(H79&gt;AVERAGE(Tabla2[SUELDO]),K79&gt;AVERAGE(Tabla2[VENTAS MENSUALES]))</f>
        <v>1</v>
      </c>
      <c r="Q79" s="34" t="str">
        <f t="shared" si="8"/>
        <v>--</v>
      </c>
    </row>
    <row r="80" spans="1:17" x14ac:dyDescent="0.3">
      <c r="A80" s="2" t="s">
        <v>86</v>
      </c>
      <c r="B80" s="3" t="s">
        <v>108</v>
      </c>
      <c r="C80" s="4">
        <v>29102</v>
      </c>
      <c r="D80" s="3">
        <v>43</v>
      </c>
      <c r="E80" s="2" t="s">
        <v>114</v>
      </c>
      <c r="F80" s="3" t="s">
        <v>121</v>
      </c>
      <c r="G80" s="3" t="s">
        <v>124</v>
      </c>
      <c r="H80" s="5">
        <v>1775</v>
      </c>
      <c r="I80" s="6">
        <v>0.32705574890868572</v>
      </c>
      <c r="J80" s="6">
        <v>0.74517359573563624</v>
      </c>
      <c r="K80" s="5">
        <v>0</v>
      </c>
      <c r="L80" s="3" t="s">
        <v>127</v>
      </c>
      <c r="M80" s="34">
        <v>0</v>
      </c>
      <c r="N80" s="45" t="str">
        <f t="shared" si="6"/>
        <v>pereyra.rui1979@miempresa.com</v>
      </c>
      <c r="O80" s="34" t="str">
        <f t="shared" si="7"/>
        <v xml:space="preserve"> --</v>
      </c>
      <c r="P80" s="34" t="b">
        <f>OR(H80&gt;AVERAGE(Tabla2[SUELDO]),K80&gt;AVERAGE(Tabla2[VENTAS MENSUALES]))</f>
        <v>0</v>
      </c>
      <c r="Q80" s="34" t="str">
        <f t="shared" si="8"/>
        <v>--</v>
      </c>
    </row>
    <row r="81" spans="1:17" x14ac:dyDescent="0.3">
      <c r="A81" s="2" t="s">
        <v>87</v>
      </c>
      <c r="B81" s="3" t="s">
        <v>107</v>
      </c>
      <c r="C81" s="4">
        <v>31623</v>
      </c>
      <c r="D81" s="3">
        <v>36</v>
      </c>
      <c r="E81" s="2" t="s">
        <v>114</v>
      </c>
      <c r="F81" s="3" t="s">
        <v>121</v>
      </c>
      <c r="G81" s="3" t="s">
        <v>123</v>
      </c>
      <c r="H81" s="5">
        <v>2175</v>
      </c>
      <c r="I81" s="6">
        <v>0.32018013397781991</v>
      </c>
      <c r="J81" s="6">
        <v>0.81244392841574375</v>
      </c>
      <c r="K81" s="5">
        <v>0</v>
      </c>
      <c r="L81" s="3" t="s">
        <v>126</v>
      </c>
      <c r="M81" s="34">
        <v>14</v>
      </c>
      <c r="N81" s="45" t="str">
        <f t="shared" si="6"/>
        <v>mondragon.ing1986@miempresa.com</v>
      </c>
      <c r="O81" s="34" t="str">
        <f t="shared" si="7"/>
        <v xml:space="preserve"> --</v>
      </c>
      <c r="P81" s="34" t="b">
        <f>OR(H81&gt;AVERAGE(Tabla2[SUELDO]),K81&gt;AVERAGE(Tabla2[VENTAS MENSUALES]))</f>
        <v>1</v>
      </c>
      <c r="Q81" s="34" t="str">
        <f t="shared" si="8"/>
        <v>NO</v>
      </c>
    </row>
    <row r="82" spans="1:17" x14ac:dyDescent="0.3">
      <c r="A82" s="2" t="s">
        <v>88</v>
      </c>
      <c r="B82" s="3" t="s">
        <v>107</v>
      </c>
      <c r="C82" s="4">
        <v>30415</v>
      </c>
      <c r="D82" s="3">
        <v>40</v>
      </c>
      <c r="E82" s="2" t="s">
        <v>113</v>
      </c>
      <c r="F82" s="3" t="s">
        <v>120</v>
      </c>
      <c r="G82" s="3" t="s">
        <v>124</v>
      </c>
      <c r="H82" s="5">
        <v>1975</v>
      </c>
      <c r="I82" s="6">
        <v>0.33167690347745576</v>
      </c>
      <c r="J82" s="6">
        <v>0.77346595536529161</v>
      </c>
      <c r="K82" s="5">
        <v>0</v>
      </c>
      <c r="L82" s="3" t="s">
        <v>126</v>
      </c>
      <c r="M82" s="34">
        <v>6</v>
      </c>
      <c r="N82" s="45" t="str">
        <f t="shared" si="6"/>
        <v>mogrovejo.dia1983@miempresa.com</v>
      </c>
      <c r="O82" s="34" t="str">
        <f t="shared" si="7"/>
        <v xml:space="preserve"> --</v>
      </c>
      <c r="P82" s="34" t="b">
        <f>OR(H82&gt;AVERAGE(Tabla2[SUELDO]),K82&gt;AVERAGE(Tabla2[VENTAS MENSUALES]))</f>
        <v>0</v>
      </c>
      <c r="Q82" s="34" t="str">
        <f t="shared" si="8"/>
        <v>SI</v>
      </c>
    </row>
    <row r="83" spans="1:17" x14ac:dyDescent="0.3">
      <c r="A83" s="2" t="s">
        <v>89</v>
      </c>
      <c r="B83" s="3" t="s">
        <v>109</v>
      </c>
      <c r="C83" s="4">
        <v>34988</v>
      </c>
      <c r="D83" s="3">
        <v>27</v>
      </c>
      <c r="E83" s="2" t="s">
        <v>117</v>
      </c>
      <c r="F83" s="3" t="s">
        <v>121</v>
      </c>
      <c r="G83" s="3" t="s">
        <v>125</v>
      </c>
      <c r="H83" s="5">
        <v>1825</v>
      </c>
      <c r="I83" s="6">
        <v>0.31596293970945533</v>
      </c>
      <c r="J83" s="6">
        <v>0.74397897825427906</v>
      </c>
      <c r="K83" s="5">
        <v>10052</v>
      </c>
      <c r="L83" s="3" t="s">
        <v>127</v>
      </c>
      <c r="M83" s="34">
        <v>0</v>
      </c>
      <c r="N83" s="45" t="str">
        <f t="shared" si="6"/>
        <v>garcia.gar1995@miempresa.com</v>
      </c>
      <c r="O83" s="34" t="str">
        <f t="shared" si="7"/>
        <v>MUY MALO</v>
      </c>
      <c r="P83" s="34" t="b">
        <f>OR(H83&gt;AVERAGE(Tabla2[SUELDO]),K83&gt;AVERAGE(Tabla2[VENTAS MENSUALES]))</f>
        <v>1</v>
      </c>
      <c r="Q83" s="34" t="str">
        <f t="shared" si="8"/>
        <v>--</v>
      </c>
    </row>
    <row r="84" spans="1:17" x14ac:dyDescent="0.3">
      <c r="A84" s="2" t="s">
        <v>90</v>
      </c>
      <c r="B84" s="3" t="s">
        <v>109</v>
      </c>
      <c r="C84" s="4">
        <v>36105</v>
      </c>
      <c r="D84" s="3">
        <v>24</v>
      </c>
      <c r="E84" s="2" t="s">
        <v>110</v>
      </c>
      <c r="F84" s="3" t="s">
        <v>121</v>
      </c>
      <c r="G84" s="3" t="s">
        <v>123</v>
      </c>
      <c r="H84" s="5">
        <v>2175</v>
      </c>
      <c r="I84" s="6">
        <v>0.29265452213980497</v>
      </c>
      <c r="J84" s="6">
        <v>0.7953110391493462</v>
      </c>
      <c r="K84" s="5">
        <v>0</v>
      </c>
      <c r="L84" s="3" t="s">
        <v>127</v>
      </c>
      <c r="M84" s="34">
        <v>0</v>
      </c>
      <c r="N84" s="45" t="str">
        <f t="shared" si="6"/>
        <v>vela.ram1998@miempresa.com</v>
      </c>
      <c r="O84" s="34" t="str">
        <f t="shared" si="7"/>
        <v xml:space="preserve"> --</v>
      </c>
      <c r="P84" s="34" t="b">
        <f>OR(H84&gt;AVERAGE(Tabla2[SUELDO]),K84&gt;AVERAGE(Tabla2[VENTAS MENSUALES]))</f>
        <v>1</v>
      </c>
      <c r="Q84" s="34" t="str">
        <f t="shared" si="8"/>
        <v>--</v>
      </c>
    </row>
    <row r="85" spans="1:17" x14ac:dyDescent="0.3">
      <c r="A85" s="2" t="s">
        <v>91</v>
      </c>
      <c r="B85" s="3" t="s">
        <v>108</v>
      </c>
      <c r="C85" s="4">
        <v>34350</v>
      </c>
      <c r="D85" s="3">
        <v>29</v>
      </c>
      <c r="E85" s="2" t="s">
        <v>115</v>
      </c>
      <c r="F85" s="3" t="s">
        <v>122</v>
      </c>
      <c r="G85" s="3" t="s">
        <v>124</v>
      </c>
      <c r="H85" s="5">
        <v>2175</v>
      </c>
      <c r="I85" s="6">
        <v>0.32888175075510356</v>
      </c>
      <c r="J85" s="6">
        <v>0.79240177543679191</v>
      </c>
      <c r="K85" s="5">
        <v>0</v>
      </c>
      <c r="L85" s="3" t="s">
        <v>127</v>
      </c>
      <c r="M85" s="34">
        <v>0</v>
      </c>
      <c r="N85" s="45" t="str">
        <f t="shared" si="6"/>
        <v>arevalo.aco1994@miempresa.com</v>
      </c>
      <c r="O85" s="34" t="str">
        <f t="shared" si="7"/>
        <v xml:space="preserve"> --</v>
      </c>
      <c r="P85" s="34" t="b">
        <f>OR(H85&gt;AVERAGE(Tabla2[SUELDO]),K85&gt;AVERAGE(Tabla2[VENTAS MENSUALES]))</f>
        <v>1</v>
      </c>
      <c r="Q85" s="34" t="str">
        <f t="shared" si="8"/>
        <v>--</v>
      </c>
    </row>
    <row r="86" spans="1:17" x14ac:dyDescent="0.3">
      <c r="A86" s="2" t="s">
        <v>92</v>
      </c>
      <c r="B86" s="3" t="s">
        <v>107</v>
      </c>
      <c r="C86" s="4">
        <v>35279</v>
      </c>
      <c r="D86" s="3">
        <v>26</v>
      </c>
      <c r="E86" s="2" t="s">
        <v>118</v>
      </c>
      <c r="F86" s="3" t="s">
        <v>122</v>
      </c>
      <c r="G86" s="3" t="s">
        <v>125</v>
      </c>
      <c r="H86" s="5">
        <v>2225</v>
      </c>
      <c r="I86" s="6">
        <v>0.31818565525385523</v>
      </c>
      <c r="J86" s="6">
        <v>0.73281129095129149</v>
      </c>
      <c r="K86" s="5">
        <v>20481</v>
      </c>
      <c r="L86" s="3" t="s">
        <v>126</v>
      </c>
      <c r="M86" s="34">
        <v>4</v>
      </c>
      <c r="N86" s="45" t="str">
        <f t="shared" si="6"/>
        <v>mendoza.car1996@miempresa.com</v>
      </c>
      <c r="O86" s="34" t="str">
        <f t="shared" si="7"/>
        <v>BUENO</v>
      </c>
      <c r="P86" s="34" t="b">
        <f>OR(H86&gt;AVERAGE(Tabla2[SUELDO]),K86&gt;AVERAGE(Tabla2[VENTAS MENSUALES]))</f>
        <v>1</v>
      </c>
      <c r="Q86" s="34" t="str">
        <f t="shared" si="8"/>
        <v>SI</v>
      </c>
    </row>
    <row r="87" spans="1:17" x14ac:dyDescent="0.3">
      <c r="A87" s="2" t="s">
        <v>93</v>
      </c>
      <c r="B87" s="3" t="s">
        <v>107</v>
      </c>
      <c r="C87" s="4">
        <v>35426</v>
      </c>
      <c r="D87" s="3">
        <v>26</v>
      </c>
      <c r="E87" s="2" t="s">
        <v>117</v>
      </c>
      <c r="F87" s="3" t="s">
        <v>120</v>
      </c>
      <c r="G87" s="3" t="s">
        <v>123</v>
      </c>
      <c r="H87" s="5">
        <v>2375</v>
      </c>
      <c r="I87" s="6">
        <v>0.32624009731372455</v>
      </c>
      <c r="J87" s="6">
        <v>0.72684238046449412</v>
      </c>
      <c r="K87" s="5">
        <v>0</v>
      </c>
      <c r="L87" s="3" t="s">
        <v>126</v>
      </c>
      <c r="M87" s="34">
        <v>10</v>
      </c>
      <c r="N87" s="45" t="str">
        <f t="shared" si="6"/>
        <v>ruiz.cah1996@miempresa.com</v>
      </c>
      <c r="O87" s="34" t="str">
        <f t="shared" si="7"/>
        <v xml:space="preserve"> --</v>
      </c>
      <c r="P87" s="34" t="b">
        <f>OR(H87&gt;AVERAGE(Tabla2[SUELDO]),K87&gt;AVERAGE(Tabla2[VENTAS MENSUALES]))</f>
        <v>1</v>
      </c>
      <c r="Q87" s="34" t="str">
        <f t="shared" si="8"/>
        <v>SI</v>
      </c>
    </row>
    <row r="88" spans="1:17" x14ac:dyDescent="0.3">
      <c r="A88" s="2" t="s">
        <v>94</v>
      </c>
      <c r="B88" s="3" t="s">
        <v>107</v>
      </c>
      <c r="C88" s="4">
        <v>26718</v>
      </c>
      <c r="D88" s="3">
        <v>50</v>
      </c>
      <c r="E88" s="2" t="s">
        <v>116</v>
      </c>
      <c r="F88" s="3" t="s">
        <v>121</v>
      </c>
      <c r="G88" s="3" t="s">
        <v>124</v>
      </c>
      <c r="H88" s="5">
        <v>1775</v>
      </c>
      <c r="I88" s="6">
        <v>0.31301002005187845</v>
      </c>
      <c r="J88" s="6">
        <v>0.77859509714241626</v>
      </c>
      <c r="K88" s="5">
        <v>0</v>
      </c>
      <c r="L88" s="3" t="s">
        <v>126</v>
      </c>
      <c r="M88" s="34">
        <v>1</v>
      </c>
      <c r="N88" s="45" t="str">
        <f t="shared" si="6"/>
        <v>vargas.val1973@miempresa.com</v>
      </c>
      <c r="O88" s="34" t="str">
        <f t="shared" si="7"/>
        <v xml:space="preserve"> --</v>
      </c>
      <c r="P88" s="34" t="b">
        <f>OR(H88&gt;AVERAGE(Tabla2[SUELDO]),K88&gt;AVERAGE(Tabla2[VENTAS MENSUALES]))</f>
        <v>0</v>
      </c>
      <c r="Q88" s="34" t="str">
        <f t="shared" si="8"/>
        <v>SI</v>
      </c>
    </row>
    <row r="89" spans="1:17" x14ac:dyDescent="0.3">
      <c r="A89" s="2" t="s">
        <v>95</v>
      </c>
      <c r="B89" s="3" t="s">
        <v>109</v>
      </c>
      <c r="C89" s="4">
        <v>34841</v>
      </c>
      <c r="D89" s="3">
        <v>27</v>
      </c>
      <c r="E89" s="2" t="s">
        <v>118</v>
      </c>
      <c r="F89" s="3" t="s">
        <v>121</v>
      </c>
      <c r="G89" s="3" t="s">
        <v>125</v>
      </c>
      <c r="H89" s="5">
        <v>1825</v>
      </c>
      <c r="I89" s="6">
        <v>0.29423332328502733</v>
      </c>
      <c r="J89" s="6">
        <v>0.72361907285105753</v>
      </c>
      <c r="K89" s="5">
        <v>20468</v>
      </c>
      <c r="L89" s="3" t="s">
        <v>126</v>
      </c>
      <c r="M89" s="34">
        <v>3</v>
      </c>
      <c r="N89" s="45" t="str">
        <f t="shared" si="6"/>
        <v>saboya.rui1995@miempresa.com</v>
      </c>
      <c r="O89" s="34" t="str">
        <f t="shared" si="7"/>
        <v>BUENO</v>
      </c>
      <c r="P89" s="34" t="b">
        <f>OR(H89&gt;AVERAGE(Tabla2[SUELDO]),K89&gt;AVERAGE(Tabla2[VENTAS MENSUALES]))</f>
        <v>1</v>
      </c>
      <c r="Q89" s="34" t="str">
        <f t="shared" si="8"/>
        <v>SI</v>
      </c>
    </row>
    <row r="90" spans="1:17" x14ac:dyDescent="0.3">
      <c r="A90" s="2" t="s">
        <v>96</v>
      </c>
      <c r="B90" s="3" t="s">
        <v>108</v>
      </c>
      <c r="C90" s="4">
        <v>33380</v>
      </c>
      <c r="D90" s="3">
        <v>31</v>
      </c>
      <c r="E90" s="2" t="s">
        <v>114</v>
      </c>
      <c r="F90" s="3" t="s">
        <v>122</v>
      </c>
      <c r="G90" s="3" t="s">
        <v>124</v>
      </c>
      <c r="H90" s="5">
        <v>2175</v>
      </c>
      <c r="I90" s="6">
        <v>0.30823699525817455</v>
      </c>
      <c r="J90" s="6">
        <v>0.77724284991868509</v>
      </c>
      <c r="K90" s="5">
        <v>0</v>
      </c>
      <c r="L90" s="3" t="s">
        <v>127</v>
      </c>
      <c r="M90" s="34">
        <v>0</v>
      </c>
      <c r="N90" s="45" t="str">
        <f t="shared" si="6"/>
        <v>guerreiro.ram1991@miempresa.com</v>
      </c>
      <c r="O90" s="34" t="str">
        <f t="shared" si="7"/>
        <v xml:space="preserve"> --</v>
      </c>
      <c r="P90" s="34" t="b">
        <f>OR(H90&gt;AVERAGE(Tabla2[SUELDO]),K90&gt;AVERAGE(Tabla2[VENTAS MENSUALES]))</f>
        <v>1</v>
      </c>
      <c r="Q90" s="34" t="str">
        <f t="shared" si="8"/>
        <v>--</v>
      </c>
    </row>
    <row r="91" spans="1:17" x14ac:dyDescent="0.3">
      <c r="A91" s="2" t="s">
        <v>97</v>
      </c>
      <c r="B91" s="3" t="s">
        <v>109</v>
      </c>
      <c r="C91" s="4">
        <v>26841</v>
      </c>
      <c r="D91" s="3">
        <v>49</v>
      </c>
      <c r="E91" s="2" t="s">
        <v>110</v>
      </c>
      <c r="F91" s="3" t="s">
        <v>120</v>
      </c>
      <c r="G91" s="3" t="s">
        <v>125</v>
      </c>
      <c r="H91" s="5">
        <v>2025</v>
      </c>
      <c r="I91" s="6">
        <v>0.30008433662325834</v>
      </c>
      <c r="J91" s="6">
        <v>0.7722283348743747</v>
      </c>
      <c r="K91" s="5">
        <v>24336</v>
      </c>
      <c r="L91" s="3" t="s">
        <v>126</v>
      </c>
      <c r="M91" s="34">
        <v>1</v>
      </c>
      <c r="N91" s="45" t="str">
        <f t="shared" si="6"/>
        <v>muñoz.zuñ1973@miempresa.com</v>
      </c>
      <c r="O91" s="34" t="str">
        <f t="shared" si="7"/>
        <v>EXCELENTE</v>
      </c>
      <c r="P91" s="34" t="b">
        <f>OR(H91&gt;AVERAGE(Tabla2[SUELDO]),K91&gt;AVERAGE(Tabla2[VENTAS MENSUALES]))</f>
        <v>1</v>
      </c>
      <c r="Q91" s="34" t="str">
        <f t="shared" si="8"/>
        <v>SI</v>
      </c>
    </row>
    <row r="92" spans="1:17" x14ac:dyDescent="0.3">
      <c r="A92" s="2" t="s">
        <v>98</v>
      </c>
      <c r="B92" s="3" t="s">
        <v>108</v>
      </c>
      <c r="C92" s="4">
        <v>33250</v>
      </c>
      <c r="D92" s="3">
        <v>32</v>
      </c>
      <c r="E92" s="2" t="s">
        <v>111</v>
      </c>
      <c r="F92" s="3" t="s">
        <v>122</v>
      </c>
      <c r="G92" s="3" t="s">
        <v>125</v>
      </c>
      <c r="H92" s="5">
        <v>2225</v>
      </c>
      <c r="I92" s="6">
        <v>0.29992107994431977</v>
      </c>
      <c r="J92" s="6">
        <v>0.80496629703602773</v>
      </c>
      <c r="K92" s="5">
        <v>19141</v>
      </c>
      <c r="L92" s="3" t="s">
        <v>127</v>
      </c>
      <c r="M92" s="34">
        <v>0</v>
      </c>
      <c r="N92" s="45" t="str">
        <f t="shared" si="6"/>
        <v>moncada.gon1991@miempresa.com</v>
      </c>
      <c r="O92" s="34" t="str">
        <f t="shared" si="7"/>
        <v>BUENO</v>
      </c>
      <c r="P92" s="34" t="b">
        <f>OR(H92&gt;AVERAGE(Tabla2[SUELDO]),K92&gt;AVERAGE(Tabla2[VENTAS MENSUALES]))</f>
        <v>1</v>
      </c>
      <c r="Q92" s="34" t="str">
        <f t="shared" si="8"/>
        <v>--</v>
      </c>
    </row>
    <row r="93" spans="1:17" x14ac:dyDescent="0.3">
      <c r="A93" s="2" t="s">
        <v>99</v>
      </c>
      <c r="B93" s="3" t="s">
        <v>108</v>
      </c>
      <c r="C93" s="4">
        <v>31101</v>
      </c>
      <c r="D93" s="3">
        <v>38</v>
      </c>
      <c r="E93" s="2" t="s">
        <v>112</v>
      </c>
      <c r="F93" s="3" t="s">
        <v>120</v>
      </c>
      <c r="G93" s="3" t="s">
        <v>125</v>
      </c>
      <c r="H93" s="5">
        <v>2025</v>
      </c>
      <c r="I93" s="6">
        <v>0.32480972183199225</v>
      </c>
      <c r="J93" s="6">
        <v>0.72462006037974191</v>
      </c>
      <c r="K93" s="5">
        <v>13199</v>
      </c>
      <c r="L93" s="3" t="s">
        <v>126</v>
      </c>
      <c r="M93" s="34">
        <v>1</v>
      </c>
      <c r="N93" s="45" t="str">
        <f t="shared" si="6"/>
        <v>mendoza.vid1985@miempresa.com</v>
      </c>
      <c r="O93" s="34" t="str">
        <f t="shared" si="7"/>
        <v>MALO</v>
      </c>
      <c r="P93" s="34" t="b">
        <f>OR(H93&gt;AVERAGE(Tabla2[SUELDO]),K93&gt;AVERAGE(Tabla2[VENTAS MENSUALES]))</f>
        <v>1</v>
      </c>
      <c r="Q93" s="34" t="str">
        <f t="shared" si="8"/>
        <v>SI</v>
      </c>
    </row>
    <row r="94" spans="1:17" x14ac:dyDescent="0.3">
      <c r="A94" s="2" t="s">
        <v>99</v>
      </c>
      <c r="B94" s="3" t="s">
        <v>107</v>
      </c>
      <c r="C94" s="4">
        <v>28389</v>
      </c>
      <c r="D94" s="3">
        <v>45</v>
      </c>
      <c r="E94" s="2" t="s">
        <v>112</v>
      </c>
      <c r="F94" s="3" t="s">
        <v>122</v>
      </c>
      <c r="G94" s="3" t="s">
        <v>123</v>
      </c>
      <c r="H94" s="5">
        <v>2575</v>
      </c>
      <c r="I94" s="6">
        <v>0.3213804472412341</v>
      </c>
      <c r="J94" s="6">
        <v>0.72284390294150391</v>
      </c>
      <c r="K94" s="5">
        <v>0</v>
      </c>
      <c r="L94" s="3" t="s">
        <v>126</v>
      </c>
      <c r="M94" s="34">
        <v>10</v>
      </c>
      <c r="N94" s="45" t="str">
        <f t="shared" si="6"/>
        <v>mendoza.vid1977@miempresa.com</v>
      </c>
      <c r="O94" s="34" t="str">
        <f t="shared" si="7"/>
        <v xml:space="preserve"> --</v>
      </c>
      <c r="P94" s="34" t="b">
        <f>OR(H94&gt;AVERAGE(Tabla2[SUELDO]),K94&gt;AVERAGE(Tabla2[VENTAS MENSUALES]))</f>
        <v>1</v>
      </c>
      <c r="Q94" s="34" t="str">
        <f t="shared" si="8"/>
        <v>SI</v>
      </c>
    </row>
    <row r="95" spans="1:17" x14ac:dyDescent="0.3">
      <c r="A95" s="2" t="s">
        <v>100</v>
      </c>
      <c r="B95" s="3" t="s">
        <v>107</v>
      </c>
      <c r="C95" s="4">
        <v>33814</v>
      </c>
      <c r="D95" s="3">
        <v>30</v>
      </c>
      <c r="E95" s="2" t="s">
        <v>114</v>
      </c>
      <c r="F95" s="3" t="s">
        <v>120</v>
      </c>
      <c r="G95" s="3" t="s">
        <v>125</v>
      </c>
      <c r="H95" s="5">
        <v>2025</v>
      </c>
      <c r="I95" s="6">
        <v>0.29607733583103663</v>
      </c>
      <c r="J95" s="6">
        <v>0.72857607884157805</v>
      </c>
      <c r="K95" s="5">
        <v>20395</v>
      </c>
      <c r="L95" s="3" t="s">
        <v>127</v>
      </c>
      <c r="M95" s="34">
        <v>0</v>
      </c>
      <c r="N95" s="45" t="str">
        <f t="shared" si="6"/>
        <v>tuesta.sor1992@miempresa.com</v>
      </c>
      <c r="O95" s="34" t="str">
        <f t="shared" si="7"/>
        <v>BUENO</v>
      </c>
      <c r="P95" s="34" t="b">
        <f>OR(H95&gt;AVERAGE(Tabla2[SUELDO]),K95&gt;AVERAGE(Tabla2[VENTAS MENSUALES]))</f>
        <v>1</v>
      </c>
      <c r="Q95" s="34" t="str">
        <f t="shared" si="8"/>
        <v>--</v>
      </c>
    </row>
    <row r="96" spans="1:17" x14ac:dyDescent="0.3">
      <c r="A96" s="2" t="s">
        <v>101</v>
      </c>
      <c r="B96" s="3" t="s">
        <v>107</v>
      </c>
      <c r="C96" s="4">
        <v>36037</v>
      </c>
      <c r="D96" s="3">
        <v>24</v>
      </c>
      <c r="E96" s="2" t="s">
        <v>119</v>
      </c>
      <c r="F96" s="3" t="s">
        <v>122</v>
      </c>
      <c r="G96" s="3" t="s">
        <v>123</v>
      </c>
      <c r="H96" s="5">
        <v>2575</v>
      </c>
      <c r="I96" s="6">
        <v>0.30472594261421232</v>
      </c>
      <c r="J96" s="6">
        <v>0.77512857011201752</v>
      </c>
      <c r="K96" s="5">
        <v>0</v>
      </c>
      <c r="L96" s="3" t="s">
        <v>127</v>
      </c>
      <c r="M96" s="34">
        <v>0</v>
      </c>
      <c r="N96" s="45" t="str">
        <f t="shared" si="6"/>
        <v>lozano.car1998@miempresa.com</v>
      </c>
      <c r="O96" s="34" t="str">
        <f t="shared" si="7"/>
        <v xml:space="preserve"> --</v>
      </c>
      <c r="P96" s="34" t="b">
        <f>OR(H96&gt;AVERAGE(Tabla2[SUELDO]),K96&gt;AVERAGE(Tabla2[VENTAS MENSUALES]))</f>
        <v>1</v>
      </c>
      <c r="Q96" s="34" t="str">
        <f t="shared" si="8"/>
        <v>--</v>
      </c>
    </row>
    <row r="97" spans="1:17" x14ac:dyDescent="0.3">
      <c r="A97" s="2" t="s">
        <v>102</v>
      </c>
      <c r="B97" s="3" t="s">
        <v>107</v>
      </c>
      <c r="C97" s="4">
        <v>35002</v>
      </c>
      <c r="D97" s="3">
        <v>27</v>
      </c>
      <c r="E97" s="2" t="s">
        <v>119</v>
      </c>
      <c r="F97" s="3" t="s">
        <v>121</v>
      </c>
      <c r="G97" s="3" t="s">
        <v>124</v>
      </c>
      <c r="H97" s="5">
        <v>1775</v>
      </c>
      <c r="I97" s="6">
        <v>0.29870736934696496</v>
      </c>
      <c r="J97" s="6">
        <v>0.80502484592343515</v>
      </c>
      <c r="K97" s="5">
        <v>0</v>
      </c>
      <c r="L97" s="3" t="s">
        <v>127</v>
      </c>
      <c r="M97" s="34">
        <v>0</v>
      </c>
      <c r="N97" s="45" t="str">
        <f t="shared" si="6"/>
        <v>ysuiza.agu1995@miempresa.com</v>
      </c>
      <c r="O97" s="34" t="str">
        <f t="shared" si="7"/>
        <v xml:space="preserve"> --</v>
      </c>
      <c r="P97" s="34" t="b">
        <f>OR(H97&gt;AVERAGE(Tabla2[SUELDO]),K97&gt;AVERAGE(Tabla2[VENTAS MENSUALES]))</f>
        <v>0</v>
      </c>
      <c r="Q97" s="34" t="str">
        <f t="shared" si="8"/>
        <v>--</v>
      </c>
    </row>
    <row r="98" spans="1:17" x14ac:dyDescent="0.3">
      <c r="A98" s="2" t="s">
        <v>103</v>
      </c>
      <c r="B98" s="3" t="s">
        <v>108</v>
      </c>
      <c r="C98" s="4">
        <v>32725</v>
      </c>
      <c r="D98" s="3">
        <v>33</v>
      </c>
      <c r="E98" s="2" t="s">
        <v>112</v>
      </c>
      <c r="F98" s="3" t="s">
        <v>120</v>
      </c>
      <c r="G98" s="3" t="s">
        <v>125</v>
      </c>
      <c r="H98" s="5">
        <v>2025</v>
      </c>
      <c r="I98" s="6">
        <v>0.29931944266436294</v>
      </c>
      <c r="J98" s="6">
        <v>0.70987438077187459</v>
      </c>
      <c r="K98" s="5">
        <v>14190</v>
      </c>
      <c r="L98" s="3" t="s">
        <v>127</v>
      </c>
      <c r="M98" s="34">
        <v>0</v>
      </c>
      <c r="N98" s="45" t="str">
        <f t="shared" si="6"/>
        <v>ortiz.pai1989@miempresa.com</v>
      </c>
      <c r="O98" s="34" t="str">
        <f t="shared" si="7"/>
        <v>MALO</v>
      </c>
      <c r="P98" s="34" t="b">
        <f>OR(H98&gt;AVERAGE(Tabla2[SUELDO]),K98&gt;AVERAGE(Tabla2[VENTAS MENSUALES]))</f>
        <v>1</v>
      </c>
      <c r="Q98" s="34" t="str">
        <f t="shared" si="8"/>
        <v>--</v>
      </c>
    </row>
    <row r="99" spans="1:17" x14ac:dyDescent="0.3">
      <c r="A99" s="2" t="s">
        <v>104</v>
      </c>
      <c r="B99" s="3" t="s">
        <v>109</v>
      </c>
      <c r="C99" s="4">
        <v>28865</v>
      </c>
      <c r="D99" s="3">
        <v>44</v>
      </c>
      <c r="E99" s="2" t="s">
        <v>117</v>
      </c>
      <c r="F99" s="3" t="s">
        <v>122</v>
      </c>
      <c r="G99" s="3" t="s">
        <v>125</v>
      </c>
      <c r="H99" s="5">
        <v>2225</v>
      </c>
      <c r="I99" s="6">
        <v>0.31724641703417683</v>
      </c>
      <c r="J99" s="6">
        <v>0.7336667197215152</v>
      </c>
      <c r="K99" s="5">
        <v>11382</v>
      </c>
      <c r="L99" s="3" t="s">
        <v>126</v>
      </c>
      <c r="M99" s="34">
        <v>14</v>
      </c>
      <c r="N99" s="45" t="str">
        <f t="shared" si="6"/>
        <v>velasco.agu1979@miempresa.com</v>
      </c>
      <c r="O99" s="34" t="str">
        <f t="shared" si="7"/>
        <v>MUY MALO</v>
      </c>
      <c r="P99" s="34" t="b">
        <f>OR(H99&gt;AVERAGE(Tabla2[SUELDO]),K99&gt;AVERAGE(Tabla2[VENTAS MENSUALES]))</f>
        <v>1</v>
      </c>
      <c r="Q99" s="34" t="str">
        <f t="shared" si="8"/>
        <v>NO</v>
      </c>
    </row>
    <row r="100" spans="1:17" x14ac:dyDescent="0.3">
      <c r="A100" s="2" t="s">
        <v>105</v>
      </c>
      <c r="B100" s="3" t="s">
        <v>108</v>
      </c>
      <c r="C100" s="4">
        <v>30797</v>
      </c>
      <c r="D100" s="3">
        <v>39</v>
      </c>
      <c r="E100" s="2" t="s">
        <v>115</v>
      </c>
      <c r="F100" s="3" t="s">
        <v>120</v>
      </c>
      <c r="G100" s="3" t="s">
        <v>125</v>
      </c>
      <c r="H100" s="5">
        <v>2025</v>
      </c>
      <c r="I100" s="6">
        <v>0.30708096101784216</v>
      </c>
      <c r="J100" s="6">
        <v>0.78824886749352063</v>
      </c>
      <c r="K100" s="5">
        <v>21469</v>
      </c>
      <c r="L100" s="3" t="s">
        <v>126</v>
      </c>
      <c r="M100" s="34">
        <v>10</v>
      </c>
      <c r="N100" s="45" t="str">
        <f t="shared" si="6"/>
        <v>vargas.ach1984@miempresa.com</v>
      </c>
      <c r="O100" s="34" t="str">
        <f t="shared" si="7"/>
        <v>BUENO</v>
      </c>
      <c r="P100" s="34" t="b">
        <f>OR(H100&gt;AVERAGE(Tabla2[SUELDO]),K100&gt;AVERAGE(Tabla2[VENTAS MENSUALES]))</f>
        <v>1</v>
      </c>
      <c r="Q100" s="34" t="str">
        <f t="shared" si="8"/>
        <v>SI</v>
      </c>
    </row>
    <row r="101" spans="1:17" x14ac:dyDescent="0.3">
      <c r="A101" s="38" t="s">
        <v>106</v>
      </c>
      <c r="B101" s="39" t="s">
        <v>107</v>
      </c>
      <c r="C101" s="40">
        <v>26658</v>
      </c>
      <c r="D101" s="39">
        <v>50</v>
      </c>
      <c r="E101" s="38" t="s">
        <v>118</v>
      </c>
      <c r="F101" s="39" t="s">
        <v>122</v>
      </c>
      <c r="G101" s="39" t="s">
        <v>123</v>
      </c>
      <c r="H101" s="41">
        <v>2575</v>
      </c>
      <c r="I101" s="42">
        <v>0.32116690214447929</v>
      </c>
      <c r="J101" s="42">
        <v>0.73732845832259508</v>
      </c>
      <c r="K101" s="41">
        <v>0</v>
      </c>
      <c r="L101" s="39" t="s">
        <v>127</v>
      </c>
      <c r="M101" s="43">
        <v>0</v>
      </c>
      <c r="N101" s="46" t="str">
        <f t="shared" si="6"/>
        <v>sanchez.gut1972@miempresa.com</v>
      </c>
      <c r="O101" s="43" t="str">
        <f t="shared" si="7"/>
        <v xml:space="preserve"> --</v>
      </c>
      <c r="P101" s="43" t="b">
        <f>OR(H101&gt;AVERAGE(Tabla2[SUELDO]),K101&gt;AVERAGE(Tabla2[VENTAS MENSUALES]))</f>
        <v>1</v>
      </c>
      <c r="Q101" s="43" t="str">
        <f t="shared" si="8"/>
        <v>--</v>
      </c>
    </row>
    <row r="104" spans="1:17" x14ac:dyDescent="0.3">
      <c r="A104" s="57" t="s">
        <v>128</v>
      </c>
      <c r="B104" s="58"/>
    </row>
    <row r="105" spans="1:17" x14ac:dyDescent="0.3">
      <c r="A105" s="58"/>
      <c r="B105" s="58"/>
    </row>
    <row r="106" spans="1:17" ht="17.25" thickBot="1" x14ac:dyDescent="0.35">
      <c r="A106" s="18" t="s">
        <v>135</v>
      </c>
      <c r="B106" s="19" t="s">
        <v>134</v>
      </c>
    </row>
    <row r="107" spans="1:17" x14ac:dyDescent="0.3">
      <c r="A107" s="12" t="s">
        <v>129</v>
      </c>
      <c r="B107" s="14">
        <f>MIN(D2:D101)</f>
        <v>24</v>
      </c>
    </row>
    <row r="108" spans="1:17" x14ac:dyDescent="0.3">
      <c r="A108" s="13" t="s">
        <v>130</v>
      </c>
      <c r="B108" s="15">
        <f>MAX(D2:D101)</f>
        <v>51</v>
      </c>
    </row>
    <row r="109" spans="1:17" x14ac:dyDescent="0.3">
      <c r="A109" s="13" t="s">
        <v>131</v>
      </c>
      <c r="B109" s="15">
        <f>AVERAGE(D2:D101)</f>
        <v>36.58</v>
      </c>
    </row>
    <row r="110" spans="1:17" x14ac:dyDescent="0.3">
      <c r="A110" s="13" t="s">
        <v>136</v>
      </c>
      <c r="B110" s="15">
        <f>COUNTIF(B2:B101,B2)</f>
        <v>33</v>
      </c>
    </row>
    <row r="111" spans="1:17" x14ac:dyDescent="0.3">
      <c r="A111" s="13" t="s">
        <v>137</v>
      </c>
      <c r="B111" s="15">
        <f>COUNTIF(B2:B101,B4)</f>
        <v>42</v>
      </c>
    </row>
    <row r="112" spans="1:17" ht="30" x14ac:dyDescent="0.3">
      <c r="A112" s="13" t="s">
        <v>138</v>
      </c>
      <c r="B112" s="15">
        <f>COUNTIFS(F2:F101,F2,D2:D101,"&gt;30")</f>
        <v>25</v>
      </c>
    </row>
    <row r="113" spans="1:2" ht="30" x14ac:dyDescent="0.3">
      <c r="A113" s="13" t="s">
        <v>139</v>
      </c>
      <c r="B113" s="15">
        <f>COUNTIFS(B2:B101,B4,L2:L101,L2,H2:H101,"&gt;1500")</f>
        <v>18</v>
      </c>
    </row>
    <row r="114" spans="1:2" ht="30" x14ac:dyDescent="0.3">
      <c r="A114" s="13" t="s">
        <v>140</v>
      </c>
      <c r="B114" s="16">
        <f>SUMIF(F2:F101,F2,H2:H101)</f>
        <v>67250</v>
      </c>
    </row>
    <row r="115" spans="1:2" x14ac:dyDescent="0.3">
      <c r="A115" s="13" t="s">
        <v>132</v>
      </c>
      <c r="B115" s="16">
        <f>AVERAGEIF(F2:F101,F5,H2:H101)</f>
        <v>2325</v>
      </c>
    </row>
    <row r="116" spans="1:2" ht="30" x14ac:dyDescent="0.3">
      <c r="A116" s="13" t="s">
        <v>133</v>
      </c>
      <c r="B116" s="17">
        <f>AVERAGEIF(L2:L101,L2,M2:M101)</f>
        <v>7.8478260869565215</v>
      </c>
    </row>
    <row r="117" spans="1:2" ht="45" x14ac:dyDescent="0.3">
      <c r="A117" s="13" t="s">
        <v>141</v>
      </c>
      <c r="B117" s="16">
        <f>SUMIFS(H2:H101,B2:B101,B3,G2:G101,G3,L2:L101,L3,E2:E101,E3)</f>
        <v>2375</v>
      </c>
    </row>
    <row r="118" spans="1:2" ht="45" x14ac:dyDescent="0.3">
      <c r="A118" s="20" t="s">
        <v>142</v>
      </c>
      <c r="B118" s="21">
        <f>AVERAGEIFS(K2:K101,F2:F101,F2,G2:G101,G2,L2:L101,L3,D2:D101,"&gt;30")</f>
        <v>13098</v>
      </c>
    </row>
  </sheetData>
  <mergeCells count="1">
    <mergeCell ref="A104:B105"/>
  </mergeCells>
  <phoneticPr fontId="12" type="noConversion"/>
  <dataValidations count="2">
    <dataValidation type="time" allowBlank="1" showInputMessage="1" showErrorMessage="1" errorTitle="HORA DE SALIDA" error="Hora fuera de rango" sqref="J2:J101" xr:uid="{D3F9EBAF-8D10-42FB-B7E3-7E18BC104A08}">
      <formula1>0.708333333333333</formula1>
      <formula2>0.8125</formula2>
    </dataValidation>
    <dataValidation type="time" allowBlank="1" showInputMessage="1" showErrorMessage="1" errorTitle="HORA DE INGRESO" error="Hora fuera de rango" sqref="I2:I101" xr:uid="{87AEFD49-10B8-403C-B99D-A5AE55077383}">
      <formula1>0.291666666666667</formula1>
      <formula2>0.333333333333333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4640-D9BD-46CE-9A26-E67F51FC1AB2}">
  <sheetPr>
    <tabColor rgb="FFFF0000"/>
  </sheetPr>
  <dimension ref="A1:P69"/>
  <sheetViews>
    <sheetView showGridLines="0" topLeftCell="A31" zoomScaleNormal="100" workbookViewId="0">
      <selection activeCell="N23" sqref="N23"/>
    </sheetView>
  </sheetViews>
  <sheetFormatPr baseColWidth="10" defaultRowHeight="16.5" x14ac:dyDescent="0.3"/>
  <cols>
    <col min="1" max="1" width="17.5" customWidth="1"/>
    <col min="2" max="2" width="23.625" customWidth="1"/>
    <col min="3" max="3" width="6.5" customWidth="1"/>
    <col min="4" max="4" width="7" customWidth="1"/>
    <col min="5" max="5" width="12.5" customWidth="1"/>
  </cols>
  <sheetData>
    <row r="1" spans="1:16" ht="18.75" x14ac:dyDescent="0.3">
      <c r="A1" s="62" t="s">
        <v>147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</row>
    <row r="2" spans="1:16" x14ac:dyDescent="0.3">
      <c r="A2" s="22"/>
      <c r="P2" s="23"/>
    </row>
    <row r="3" spans="1:16" x14ac:dyDescent="0.3">
      <c r="A3" s="24" t="s">
        <v>144</v>
      </c>
      <c r="B3" s="1" t="s">
        <v>143</v>
      </c>
      <c r="P3" s="23"/>
    </row>
    <row r="4" spans="1:16" x14ac:dyDescent="0.3">
      <c r="A4" s="25" t="s">
        <v>113</v>
      </c>
      <c r="B4" s="1">
        <v>22925</v>
      </c>
      <c r="P4" s="23"/>
    </row>
    <row r="5" spans="1:16" x14ac:dyDescent="0.3">
      <c r="A5" s="25" t="s">
        <v>115</v>
      </c>
      <c r="B5" s="1">
        <v>35850</v>
      </c>
      <c r="P5" s="23"/>
    </row>
    <row r="6" spans="1:16" x14ac:dyDescent="0.3">
      <c r="A6" s="25" t="s">
        <v>110</v>
      </c>
      <c r="B6" s="1">
        <v>21600</v>
      </c>
      <c r="P6" s="23"/>
    </row>
    <row r="7" spans="1:16" x14ac:dyDescent="0.3">
      <c r="A7" s="25" t="s">
        <v>111</v>
      </c>
      <c r="B7" s="1">
        <v>16900</v>
      </c>
      <c r="P7" s="23"/>
    </row>
    <row r="8" spans="1:16" x14ac:dyDescent="0.3">
      <c r="A8" s="25" t="s">
        <v>112</v>
      </c>
      <c r="B8" s="1">
        <v>18525</v>
      </c>
      <c r="P8" s="23"/>
    </row>
    <row r="9" spans="1:16" x14ac:dyDescent="0.3">
      <c r="A9" s="25" t="s">
        <v>116</v>
      </c>
      <c r="B9" s="1">
        <v>24700</v>
      </c>
      <c r="P9" s="23"/>
    </row>
    <row r="10" spans="1:16" x14ac:dyDescent="0.3">
      <c r="A10" s="25" t="s">
        <v>114</v>
      </c>
      <c r="B10" s="1">
        <v>14525</v>
      </c>
      <c r="P10" s="23"/>
    </row>
    <row r="11" spans="1:16" x14ac:dyDescent="0.3">
      <c r="A11" s="25" t="s">
        <v>118</v>
      </c>
      <c r="B11" s="1">
        <v>22150</v>
      </c>
      <c r="P11" s="23"/>
    </row>
    <row r="12" spans="1:16" x14ac:dyDescent="0.3">
      <c r="A12" s="25" t="s">
        <v>117</v>
      </c>
      <c r="B12" s="1">
        <v>21300</v>
      </c>
      <c r="P12" s="23"/>
    </row>
    <row r="13" spans="1:16" x14ac:dyDescent="0.3">
      <c r="A13" s="25" t="s">
        <v>119</v>
      </c>
      <c r="B13" s="1">
        <v>15375</v>
      </c>
      <c r="P13" s="23"/>
    </row>
    <row r="14" spans="1:16" x14ac:dyDescent="0.3">
      <c r="A14" s="25" t="s">
        <v>145</v>
      </c>
      <c r="B14" s="1">
        <v>213850</v>
      </c>
      <c r="P14" s="23"/>
    </row>
    <row r="15" spans="1:16" x14ac:dyDescent="0.3">
      <c r="A15" s="22"/>
      <c r="P15" s="23"/>
    </row>
    <row r="16" spans="1:16" x14ac:dyDescent="0.3">
      <c r="A16" s="22"/>
      <c r="P16" s="23"/>
    </row>
    <row r="17" spans="1:16" x14ac:dyDescent="0.3">
      <c r="A17" s="22"/>
      <c r="P17" s="23"/>
    </row>
    <row r="18" spans="1:16" ht="18.75" x14ac:dyDescent="0.3">
      <c r="A18" s="59" t="s">
        <v>148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</row>
    <row r="19" spans="1:16" x14ac:dyDescent="0.3">
      <c r="A19" s="22"/>
      <c r="P19" s="23"/>
    </row>
    <row r="20" spans="1:16" x14ac:dyDescent="0.3">
      <c r="A20" s="24" t="s">
        <v>144</v>
      </c>
      <c r="B20" s="1" t="s">
        <v>146</v>
      </c>
      <c r="P20" s="23"/>
    </row>
    <row r="21" spans="1:16" x14ac:dyDescent="0.3">
      <c r="A21" s="25" t="s">
        <v>123</v>
      </c>
      <c r="B21" s="1">
        <v>31</v>
      </c>
      <c r="P21" s="23"/>
    </row>
    <row r="22" spans="1:16" x14ac:dyDescent="0.3">
      <c r="A22" s="25" t="s">
        <v>124</v>
      </c>
      <c r="B22" s="1">
        <v>30</v>
      </c>
      <c r="P22" s="23"/>
    </row>
    <row r="23" spans="1:16" x14ac:dyDescent="0.3">
      <c r="A23" s="25" t="s">
        <v>125</v>
      </c>
      <c r="B23" s="1">
        <v>39</v>
      </c>
      <c r="P23" s="23"/>
    </row>
    <row r="24" spans="1:16" x14ac:dyDescent="0.3">
      <c r="A24" s="25" t="s">
        <v>145</v>
      </c>
      <c r="B24" s="1">
        <v>100</v>
      </c>
      <c r="P24" s="23"/>
    </row>
    <row r="25" spans="1:16" x14ac:dyDescent="0.3">
      <c r="A25" s="22"/>
      <c r="P25" s="23"/>
    </row>
    <row r="26" spans="1:16" x14ac:dyDescent="0.3">
      <c r="A26" s="22"/>
      <c r="P26" s="23"/>
    </row>
    <row r="27" spans="1:16" x14ac:dyDescent="0.3">
      <c r="A27" s="22"/>
      <c r="P27" s="23"/>
    </row>
    <row r="28" spans="1:16" x14ac:dyDescent="0.3">
      <c r="A28" s="22"/>
      <c r="P28" s="23"/>
    </row>
    <row r="29" spans="1:16" x14ac:dyDescent="0.3">
      <c r="A29" s="22"/>
      <c r="P29" s="23"/>
    </row>
    <row r="30" spans="1:16" x14ac:dyDescent="0.3">
      <c r="A30" s="22"/>
      <c r="P30" s="23"/>
    </row>
    <row r="31" spans="1:16" x14ac:dyDescent="0.3">
      <c r="A31" s="22"/>
      <c r="P31" s="23"/>
    </row>
    <row r="32" spans="1:16" x14ac:dyDescent="0.3">
      <c r="A32" s="22"/>
      <c r="P32" s="23"/>
    </row>
    <row r="33" spans="1:16" ht="18.75" x14ac:dyDescent="0.3">
      <c r="A33" s="59" t="s">
        <v>149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1"/>
    </row>
    <row r="34" spans="1:16" x14ac:dyDescent="0.3">
      <c r="A34" s="22"/>
      <c r="P34" s="23"/>
    </row>
    <row r="35" spans="1:16" x14ac:dyDescent="0.3">
      <c r="A35" s="24" t="s">
        <v>143</v>
      </c>
      <c r="B35" s="26" t="s">
        <v>150</v>
      </c>
      <c r="P35" s="23"/>
    </row>
    <row r="36" spans="1:16" x14ac:dyDescent="0.3">
      <c r="A36" s="24" t="s">
        <v>144</v>
      </c>
      <c r="B36" s="1" t="s">
        <v>123</v>
      </c>
      <c r="C36" s="1" t="s">
        <v>124</v>
      </c>
      <c r="D36" s="1" t="s">
        <v>125</v>
      </c>
      <c r="E36" s="1" t="s">
        <v>145</v>
      </c>
      <c r="P36" s="23"/>
    </row>
    <row r="37" spans="1:16" x14ac:dyDescent="0.3">
      <c r="A37" s="25" t="s">
        <v>120</v>
      </c>
      <c r="B37" s="1">
        <v>19000</v>
      </c>
      <c r="C37" s="1">
        <v>13825</v>
      </c>
      <c r="D37" s="1">
        <v>34425</v>
      </c>
      <c r="E37" s="1">
        <v>67250</v>
      </c>
      <c r="P37" s="23"/>
    </row>
    <row r="38" spans="1:16" x14ac:dyDescent="0.3">
      <c r="A38" s="25" t="s">
        <v>122</v>
      </c>
      <c r="B38" s="1">
        <v>33475</v>
      </c>
      <c r="C38" s="1">
        <v>28275</v>
      </c>
      <c r="D38" s="1">
        <v>28925</v>
      </c>
      <c r="E38" s="1">
        <v>90675</v>
      </c>
      <c r="P38" s="23"/>
    </row>
    <row r="39" spans="1:16" x14ac:dyDescent="0.3">
      <c r="A39" s="25" t="s">
        <v>121</v>
      </c>
      <c r="B39" s="1">
        <v>21750</v>
      </c>
      <c r="C39" s="1">
        <v>17750</v>
      </c>
      <c r="D39" s="1">
        <v>16425</v>
      </c>
      <c r="E39" s="1">
        <v>55925</v>
      </c>
      <c r="P39" s="23"/>
    </row>
    <row r="40" spans="1:16" x14ac:dyDescent="0.3">
      <c r="A40" s="25" t="s">
        <v>145</v>
      </c>
      <c r="B40" s="1">
        <v>74225</v>
      </c>
      <c r="C40" s="1">
        <v>59850</v>
      </c>
      <c r="D40" s="1">
        <v>79775</v>
      </c>
      <c r="E40" s="1">
        <v>213850</v>
      </c>
      <c r="P40" s="23"/>
    </row>
    <row r="41" spans="1:16" x14ac:dyDescent="0.3">
      <c r="A41" s="22"/>
      <c r="P41" s="23"/>
    </row>
    <row r="42" spans="1:16" x14ac:dyDescent="0.3">
      <c r="A42" s="22"/>
      <c r="P42" s="23"/>
    </row>
    <row r="43" spans="1:16" x14ac:dyDescent="0.3">
      <c r="A43" s="22"/>
      <c r="P43" s="23"/>
    </row>
    <row r="44" spans="1:16" x14ac:dyDescent="0.3">
      <c r="A44" s="22"/>
      <c r="P44" s="23"/>
    </row>
    <row r="45" spans="1:16" x14ac:dyDescent="0.3">
      <c r="A45" s="22"/>
      <c r="P45" s="23"/>
    </row>
    <row r="46" spans="1:16" x14ac:dyDescent="0.3">
      <c r="A46" s="22"/>
      <c r="P46" s="23"/>
    </row>
    <row r="47" spans="1:16" x14ac:dyDescent="0.3">
      <c r="A47" s="22"/>
      <c r="P47" s="23"/>
    </row>
    <row r="48" spans="1:16" x14ac:dyDescent="0.3">
      <c r="A48" s="22"/>
      <c r="P48" s="23"/>
    </row>
    <row r="49" spans="1:16" x14ac:dyDescent="0.3">
      <c r="A49" s="22"/>
      <c r="P49" s="23"/>
    </row>
    <row r="50" spans="1:16" ht="18.75" x14ac:dyDescent="0.3">
      <c r="A50" s="59" t="s">
        <v>151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1"/>
    </row>
    <row r="51" spans="1:16" x14ac:dyDescent="0.3">
      <c r="A51" s="22"/>
      <c r="P51" s="23"/>
    </row>
    <row r="52" spans="1:16" x14ac:dyDescent="0.3">
      <c r="A52" s="24" t="s">
        <v>144</v>
      </c>
      <c r="B52" t="s">
        <v>146</v>
      </c>
      <c r="P52" s="23"/>
    </row>
    <row r="53" spans="1:16" x14ac:dyDescent="0.3">
      <c r="A53" s="27" t="s">
        <v>152</v>
      </c>
      <c r="B53" s="1">
        <v>9</v>
      </c>
      <c r="P53" s="23"/>
    </row>
    <row r="54" spans="1:16" x14ac:dyDescent="0.3">
      <c r="A54" s="27" t="s">
        <v>153</v>
      </c>
      <c r="B54" s="1">
        <v>21</v>
      </c>
      <c r="P54" s="23"/>
    </row>
    <row r="55" spans="1:16" x14ac:dyDescent="0.3">
      <c r="A55" s="27" t="s">
        <v>154</v>
      </c>
      <c r="B55" s="1">
        <v>12</v>
      </c>
      <c r="P55" s="23"/>
    </row>
    <row r="56" spans="1:16" x14ac:dyDescent="0.3">
      <c r="A56" s="27" t="s">
        <v>155</v>
      </c>
      <c r="B56" s="1">
        <v>24</v>
      </c>
      <c r="P56" s="23"/>
    </row>
    <row r="57" spans="1:16" x14ac:dyDescent="0.3">
      <c r="A57" s="27" t="s">
        <v>156</v>
      </c>
      <c r="B57" s="1">
        <v>18</v>
      </c>
      <c r="P57" s="23"/>
    </row>
    <row r="58" spans="1:16" x14ac:dyDescent="0.3">
      <c r="A58" s="27" t="s">
        <v>157</v>
      </c>
      <c r="B58" s="1">
        <v>15</v>
      </c>
      <c r="P58" s="23"/>
    </row>
    <row r="59" spans="1:16" x14ac:dyDescent="0.3">
      <c r="A59" s="25" t="s">
        <v>145</v>
      </c>
      <c r="B59" s="1">
        <v>99</v>
      </c>
      <c r="P59" s="23"/>
    </row>
    <row r="60" spans="1:16" x14ac:dyDescent="0.3">
      <c r="A60" s="22"/>
      <c r="P60" s="23"/>
    </row>
    <row r="61" spans="1:16" x14ac:dyDescent="0.3">
      <c r="A61" s="22"/>
      <c r="P61" s="23"/>
    </row>
    <row r="62" spans="1:16" x14ac:dyDescent="0.3">
      <c r="A62" s="22"/>
      <c r="P62" s="23"/>
    </row>
    <row r="63" spans="1:16" x14ac:dyDescent="0.3">
      <c r="A63" s="22"/>
      <c r="P63" s="23"/>
    </row>
    <row r="64" spans="1:16" x14ac:dyDescent="0.3">
      <c r="A64" s="22"/>
      <c r="P64" s="23"/>
    </row>
    <row r="65" spans="1:16" x14ac:dyDescent="0.3">
      <c r="A65" s="22"/>
      <c r="P65" s="23"/>
    </row>
    <row r="66" spans="1:16" x14ac:dyDescent="0.3">
      <c r="A66" s="22"/>
      <c r="P66" s="23"/>
    </row>
    <row r="67" spans="1:16" x14ac:dyDescent="0.3">
      <c r="A67" s="22"/>
      <c r="P67" s="23"/>
    </row>
    <row r="68" spans="1:16" x14ac:dyDescent="0.3">
      <c r="A68" s="22"/>
      <c r="P68" s="23"/>
    </row>
    <row r="69" spans="1:16" ht="17.25" thickBot="1" x14ac:dyDescent="0.3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30"/>
    </row>
  </sheetData>
  <mergeCells count="4">
    <mergeCell ref="A50:P50"/>
    <mergeCell ref="A1:P1"/>
    <mergeCell ref="A18:P18"/>
    <mergeCell ref="A33:P33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2CBA-9ED4-49E9-BF0B-91D9C798AE33}">
  <dimension ref="A1:Q33"/>
  <sheetViews>
    <sheetView workbookViewId="0">
      <selection sqref="A1:Q33"/>
    </sheetView>
  </sheetViews>
  <sheetFormatPr baseColWidth="10" defaultRowHeight="16.5" x14ac:dyDescent="0.3"/>
  <cols>
    <col min="2" max="2" width="15.125" customWidth="1"/>
    <col min="3" max="3" width="23.875" customWidth="1"/>
    <col min="6" max="6" width="20" customWidth="1"/>
    <col min="9" max="9" width="19.75" customWidth="1"/>
    <col min="10" max="10" width="18" customWidth="1"/>
    <col min="11" max="11" width="20.75" customWidth="1"/>
    <col min="12" max="12" width="23.25" customWidth="1"/>
    <col min="13" max="13" width="31.375" customWidth="1"/>
    <col min="14" max="14" width="24.875" customWidth="1"/>
    <col min="15" max="15" width="21" customWidth="1"/>
    <col min="16" max="16" width="40.125" customWidth="1"/>
    <col min="17" max="17" width="28.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161</v>
      </c>
      <c r="O1" t="s">
        <v>162</v>
      </c>
      <c r="P1" t="s">
        <v>164</v>
      </c>
      <c r="Q1" t="s">
        <v>163</v>
      </c>
    </row>
    <row r="2" spans="1:17" x14ac:dyDescent="0.3">
      <c r="A2" t="s">
        <v>13</v>
      </c>
      <c r="B2" t="s">
        <v>107</v>
      </c>
      <c r="C2" s="50">
        <v>33391</v>
      </c>
      <c r="D2">
        <v>31</v>
      </c>
      <c r="E2" t="s">
        <v>110</v>
      </c>
      <c r="F2" t="s">
        <v>120</v>
      </c>
      <c r="G2" t="s">
        <v>125</v>
      </c>
      <c r="H2">
        <v>2025</v>
      </c>
      <c r="I2" s="51">
        <v>0.32928240740740738</v>
      </c>
      <c r="J2" s="51">
        <v>0.79872685185185188</v>
      </c>
      <c r="K2">
        <v>24184</v>
      </c>
      <c r="L2" t="s">
        <v>126</v>
      </c>
      <c r="M2">
        <v>12</v>
      </c>
      <c r="N2" t="s">
        <v>182</v>
      </c>
      <c r="O2" t="s">
        <v>170</v>
      </c>
      <c r="P2" t="b">
        <v>1</v>
      </c>
      <c r="Q2" t="s">
        <v>127</v>
      </c>
    </row>
    <row r="3" spans="1:17" x14ac:dyDescent="0.3">
      <c r="A3" t="s">
        <v>14</v>
      </c>
      <c r="B3" t="s">
        <v>109</v>
      </c>
      <c r="C3" s="50">
        <v>28196</v>
      </c>
      <c r="D3">
        <v>46</v>
      </c>
      <c r="E3" t="s">
        <v>112</v>
      </c>
      <c r="F3" t="s">
        <v>120</v>
      </c>
      <c r="G3" t="s">
        <v>123</v>
      </c>
      <c r="H3">
        <v>2375</v>
      </c>
      <c r="I3" s="51">
        <v>0.29910879629629633</v>
      </c>
      <c r="J3" s="51">
        <v>0.76539351851851845</v>
      </c>
      <c r="K3">
        <v>0</v>
      </c>
      <c r="L3" t="s">
        <v>127</v>
      </c>
      <c r="M3">
        <v>0</v>
      </c>
      <c r="N3" t="s">
        <v>183</v>
      </c>
      <c r="O3" t="s">
        <v>168</v>
      </c>
      <c r="P3" t="b">
        <v>1</v>
      </c>
      <c r="Q3" t="s">
        <v>184</v>
      </c>
    </row>
    <row r="4" spans="1:17" x14ac:dyDescent="0.3">
      <c r="A4" t="s">
        <v>105</v>
      </c>
      <c r="B4" t="s">
        <v>108</v>
      </c>
      <c r="C4" s="50">
        <v>30797</v>
      </c>
      <c r="D4">
        <v>39</v>
      </c>
      <c r="E4" t="s">
        <v>115</v>
      </c>
      <c r="F4" t="s">
        <v>120</v>
      </c>
      <c r="G4" t="s">
        <v>125</v>
      </c>
      <c r="H4">
        <v>2025</v>
      </c>
      <c r="I4" s="51">
        <v>0.30708333333333332</v>
      </c>
      <c r="J4" s="51">
        <v>0.78825231481481473</v>
      </c>
      <c r="K4">
        <v>21469</v>
      </c>
      <c r="L4" t="s">
        <v>126</v>
      </c>
      <c r="M4">
        <v>10</v>
      </c>
      <c r="N4" t="s">
        <v>185</v>
      </c>
      <c r="O4" t="s">
        <v>169</v>
      </c>
      <c r="P4" t="b">
        <v>1</v>
      </c>
      <c r="Q4" t="s">
        <v>126</v>
      </c>
    </row>
    <row r="5" spans="1:17" x14ac:dyDescent="0.3">
      <c r="A5" t="s">
        <v>103</v>
      </c>
      <c r="B5" t="s">
        <v>108</v>
      </c>
      <c r="C5" s="50">
        <v>32725</v>
      </c>
      <c r="D5">
        <v>33</v>
      </c>
      <c r="E5" t="s">
        <v>112</v>
      </c>
      <c r="F5" t="s">
        <v>120</v>
      </c>
      <c r="G5" t="s">
        <v>125</v>
      </c>
      <c r="H5">
        <v>2025</v>
      </c>
      <c r="I5" s="51">
        <v>0.29931712962962964</v>
      </c>
      <c r="J5" s="51">
        <v>0.7098726851851852</v>
      </c>
      <c r="K5">
        <v>14190</v>
      </c>
      <c r="L5" t="s">
        <v>127</v>
      </c>
      <c r="M5">
        <v>0</v>
      </c>
      <c r="N5" t="s">
        <v>186</v>
      </c>
      <c r="O5" t="s">
        <v>171</v>
      </c>
      <c r="P5" t="b">
        <v>1</v>
      </c>
      <c r="Q5" t="s">
        <v>184</v>
      </c>
    </row>
    <row r="6" spans="1:17" x14ac:dyDescent="0.3">
      <c r="A6" t="s">
        <v>100</v>
      </c>
      <c r="B6" t="s">
        <v>107</v>
      </c>
      <c r="C6" s="50">
        <v>33814</v>
      </c>
      <c r="D6">
        <v>30</v>
      </c>
      <c r="E6" t="s">
        <v>114</v>
      </c>
      <c r="F6" t="s">
        <v>120</v>
      </c>
      <c r="G6" t="s">
        <v>125</v>
      </c>
      <c r="H6">
        <v>2025</v>
      </c>
      <c r="I6" s="51">
        <v>0.29607638888888888</v>
      </c>
      <c r="J6" s="51">
        <v>0.72857638888888887</v>
      </c>
      <c r="K6">
        <v>20395</v>
      </c>
      <c r="L6" t="s">
        <v>127</v>
      </c>
      <c r="M6">
        <v>0</v>
      </c>
      <c r="N6" t="s">
        <v>187</v>
      </c>
      <c r="O6" t="s">
        <v>169</v>
      </c>
      <c r="P6" t="b">
        <v>1</v>
      </c>
      <c r="Q6" t="s">
        <v>184</v>
      </c>
    </row>
    <row r="7" spans="1:17" x14ac:dyDescent="0.3">
      <c r="A7" t="s">
        <v>99</v>
      </c>
      <c r="B7" t="s">
        <v>108</v>
      </c>
      <c r="C7" s="50">
        <v>31101</v>
      </c>
      <c r="D7">
        <v>38</v>
      </c>
      <c r="E7" t="s">
        <v>112</v>
      </c>
      <c r="F7" t="s">
        <v>120</v>
      </c>
      <c r="G7" t="s">
        <v>125</v>
      </c>
      <c r="H7">
        <v>2025</v>
      </c>
      <c r="I7" s="51">
        <v>0.32481481481481483</v>
      </c>
      <c r="J7" s="51">
        <v>0.72461805555555558</v>
      </c>
      <c r="K7">
        <v>13199</v>
      </c>
      <c r="L7" t="s">
        <v>126</v>
      </c>
      <c r="M7">
        <v>1</v>
      </c>
      <c r="N7" t="s">
        <v>188</v>
      </c>
      <c r="O7" t="s">
        <v>171</v>
      </c>
      <c r="P7" t="b">
        <v>1</v>
      </c>
      <c r="Q7" t="s">
        <v>126</v>
      </c>
    </row>
    <row r="8" spans="1:17" x14ac:dyDescent="0.3">
      <c r="A8" t="s">
        <v>19</v>
      </c>
      <c r="B8" t="s">
        <v>108</v>
      </c>
      <c r="C8" s="50">
        <v>27006</v>
      </c>
      <c r="D8">
        <v>49</v>
      </c>
      <c r="E8" t="s">
        <v>111</v>
      </c>
      <c r="F8" t="s">
        <v>120</v>
      </c>
      <c r="G8" t="s">
        <v>123</v>
      </c>
      <c r="H8">
        <v>2375</v>
      </c>
      <c r="I8" s="51">
        <v>0.3162962962962963</v>
      </c>
      <c r="J8" s="51">
        <v>0.80538194444444444</v>
      </c>
      <c r="K8">
        <v>0</v>
      </c>
      <c r="L8" t="s">
        <v>127</v>
      </c>
      <c r="M8">
        <v>0</v>
      </c>
      <c r="N8" t="s">
        <v>189</v>
      </c>
      <c r="O8" t="s">
        <v>168</v>
      </c>
      <c r="P8" t="b">
        <v>1</v>
      </c>
      <c r="Q8" t="s">
        <v>184</v>
      </c>
    </row>
    <row r="9" spans="1:17" x14ac:dyDescent="0.3">
      <c r="A9" t="s">
        <v>97</v>
      </c>
      <c r="B9" t="s">
        <v>109</v>
      </c>
      <c r="C9" s="50">
        <v>26841</v>
      </c>
      <c r="D9">
        <v>49</v>
      </c>
      <c r="E9" t="s">
        <v>110</v>
      </c>
      <c r="F9" t="s">
        <v>120</v>
      </c>
      <c r="G9" t="s">
        <v>125</v>
      </c>
      <c r="H9">
        <v>2025</v>
      </c>
      <c r="I9" s="51">
        <v>0.30008101851851848</v>
      </c>
      <c r="J9" s="51">
        <v>0.77223379629629629</v>
      </c>
      <c r="K9">
        <v>24336</v>
      </c>
      <c r="L9" t="s">
        <v>126</v>
      </c>
      <c r="M9">
        <v>1</v>
      </c>
      <c r="N9" t="s">
        <v>190</v>
      </c>
      <c r="O9" t="s">
        <v>170</v>
      </c>
      <c r="P9" t="b">
        <v>1</v>
      </c>
      <c r="Q9" t="s">
        <v>126</v>
      </c>
    </row>
    <row r="10" spans="1:17" x14ac:dyDescent="0.3">
      <c r="A10" t="s">
        <v>93</v>
      </c>
      <c r="B10" t="s">
        <v>107</v>
      </c>
      <c r="C10" s="50">
        <v>35426</v>
      </c>
      <c r="D10">
        <v>26</v>
      </c>
      <c r="E10" t="s">
        <v>117</v>
      </c>
      <c r="F10" t="s">
        <v>120</v>
      </c>
      <c r="G10" t="s">
        <v>123</v>
      </c>
      <c r="H10">
        <v>2375</v>
      </c>
      <c r="I10" s="51">
        <v>0.32623842592592595</v>
      </c>
      <c r="J10" s="51">
        <v>0.72684027777777782</v>
      </c>
      <c r="K10">
        <v>0</v>
      </c>
      <c r="L10" t="s">
        <v>126</v>
      </c>
      <c r="M10">
        <v>10</v>
      </c>
      <c r="N10" t="s">
        <v>191</v>
      </c>
      <c r="O10" t="s">
        <v>168</v>
      </c>
      <c r="P10" t="b">
        <v>1</v>
      </c>
      <c r="Q10" t="s">
        <v>126</v>
      </c>
    </row>
    <row r="11" spans="1:17" x14ac:dyDescent="0.3">
      <c r="A11" t="s">
        <v>88</v>
      </c>
      <c r="B11" t="s">
        <v>107</v>
      </c>
      <c r="C11" s="50">
        <v>30415</v>
      </c>
      <c r="D11">
        <v>40</v>
      </c>
      <c r="E11" t="s">
        <v>113</v>
      </c>
      <c r="F11" t="s">
        <v>120</v>
      </c>
      <c r="G11" t="s">
        <v>124</v>
      </c>
      <c r="H11">
        <v>1975</v>
      </c>
      <c r="I11" s="51">
        <v>0.33167824074074076</v>
      </c>
      <c r="J11" s="51">
        <v>0.77346064814814808</v>
      </c>
      <c r="K11">
        <v>0</v>
      </c>
      <c r="L11" t="s">
        <v>126</v>
      </c>
      <c r="M11">
        <v>6</v>
      </c>
      <c r="N11" t="s">
        <v>192</v>
      </c>
      <c r="O11" t="s">
        <v>168</v>
      </c>
      <c r="P11" t="b">
        <v>0</v>
      </c>
      <c r="Q11" t="s">
        <v>126</v>
      </c>
    </row>
    <row r="12" spans="1:17" x14ac:dyDescent="0.3">
      <c r="A12" t="s">
        <v>84</v>
      </c>
      <c r="B12" t="s">
        <v>107</v>
      </c>
      <c r="C12" s="50">
        <v>31353</v>
      </c>
      <c r="D12">
        <v>37</v>
      </c>
      <c r="E12" t="s">
        <v>115</v>
      </c>
      <c r="F12" t="s">
        <v>120</v>
      </c>
      <c r="G12" t="s">
        <v>125</v>
      </c>
      <c r="H12">
        <v>2025</v>
      </c>
      <c r="I12" s="51">
        <v>0.3109837962962963</v>
      </c>
      <c r="J12" s="51">
        <v>0.72781250000000008</v>
      </c>
      <c r="K12">
        <v>14450</v>
      </c>
      <c r="L12" t="s">
        <v>127</v>
      </c>
      <c r="M12">
        <v>0</v>
      </c>
      <c r="N12" t="s">
        <v>193</v>
      </c>
      <c r="O12" t="s">
        <v>171</v>
      </c>
      <c r="P12" t="b">
        <v>1</v>
      </c>
      <c r="Q12" t="s">
        <v>184</v>
      </c>
    </row>
    <row r="13" spans="1:17" x14ac:dyDescent="0.3">
      <c r="A13" t="s">
        <v>81</v>
      </c>
      <c r="B13" t="s">
        <v>107</v>
      </c>
      <c r="C13" s="50">
        <v>32395</v>
      </c>
      <c r="D13">
        <v>34</v>
      </c>
      <c r="E13" t="s">
        <v>118</v>
      </c>
      <c r="F13" t="s">
        <v>120</v>
      </c>
      <c r="G13" t="s">
        <v>123</v>
      </c>
      <c r="H13">
        <v>2375</v>
      </c>
      <c r="I13" s="51">
        <v>0.3049074074074074</v>
      </c>
      <c r="J13" s="51">
        <v>0.80994212962962964</v>
      </c>
      <c r="K13">
        <v>0</v>
      </c>
      <c r="L13" t="s">
        <v>126</v>
      </c>
      <c r="M13">
        <v>6</v>
      </c>
      <c r="N13" t="s">
        <v>194</v>
      </c>
      <c r="O13" t="s">
        <v>168</v>
      </c>
      <c r="P13" t="b">
        <v>1</v>
      </c>
      <c r="Q13" t="s">
        <v>126</v>
      </c>
    </row>
    <row r="14" spans="1:17" x14ac:dyDescent="0.3">
      <c r="A14" t="s">
        <v>80</v>
      </c>
      <c r="B14" t="s">
        <v>109</v>
      </c>
      <c r="C14" s="50">
        <v>31847</v>
      </c>
      <c r="D14">
        <v>36</v>
      </c>
      <c r="E14" t="s">
        <v>117</v>
      </c>
      <c r="F14" t="s">
        <v>120</v>
      </c>
      <c r="G14" t="s">
        <v>124</v>
      </c>
      <c r="H14">
        <v>1975</v>
      </c>
      <c r="I14" s="51">
        <v>0.32821759259259259</v>
      </c>
      <c r="J14" s="51">
        <v>0.72260416666666671</v>
      </c>
      <c r="K14">
        <v>0</v>
      </c>
      <c r="L14" t="s">
        <v>127</v>
      </c>
      <c r="M14">
        <v>0</v>
      </c>
      <c r="N14" t="s">
        <v>195</v>
      </c>
      <c r="O14" t="s">
        <v>168</v>
      </c>
      <c r="P14" t="b">
        <v>0</v>
      </c>
      <c r="Q14" t="s">
        <v>184</v>
      </c>
    </row>
    <row r="15" spans="1:17" x14ac:dyDescent="0.3">
      <c r="A15" t="s">
        <v>26</v>
      </c>
      <c r="B15" t="s">
        <v>108</v>
      </c>
      <c r="C15" s="50">
        <v>33886</v>
      </c>
      <c r="D15">
        <v>30</v>
      </c>
      <c r="E15" t="s">
        <v>116</v>
      </c>
      <c r="F15" t="s">
        <v>120</v>
      </c>
      <c r="G15" t="s">
        <v>125</v>
      </c>
      <c r="H15">
        <v>2025</v>
      </c>
      <c r="I15" s="51">
        <v>0.31861111111111112</v>
      </c>
      <c r="J15" s="51">
        <v>0.77585648148148145</v>
      </c>
      <c r="K15">
        <v>22410</v>
      </c>
      <c r="L15" t="s">
        <v>127</v>
      </c>
      <c r="M15">
        <v>0</v>
      </c>
      <c r="N15" t="s">
        <v>196</v>
      </c>
      <c r="O15" t="s">
        <v>170</v>
      </c>
      <c r="P15" t="b">
        <v>1</v>
      </c>
      <c r="Q15" t="s">
        <v>184</v>
      </c>
    </row>
    <row r="16" spans="1:17" x14ac:dyDescent="0.3">
      <c r="A16" t="s">
        <v>78</v>
      </c>
      <c r="B16" t="s">
        <v>108</v>
      </c>
      <c r="C16" s="50">
        <v>31018</v>
      </c>
      <c r="D16">
        <v>38</v>
      </c>
      <c r="E16" t="s">
        <v>118</v>
      </c>
      <c r="F16" t="s">
        <v>120</v>
      </c>
      <c r="G16" t="s">
        <v>124</v>
      </c>
      <c r="H16">
        <v>1975</v>
      </c>
      <c r="I16" s="51">
        <v>0.29188657407407409</v>
      </c>
      <c r="J16" s="51">
        <v>0.78214120370370377</v>
      </c>
      <c r="K16">
        <v>0</v>
      </c>
      <c r="L16" t="s">
        <v>127</v>
      </c>
      <c r="M16">
        <v>0</v>
      </c>
      <c r="N16" t="s">
        <v>197</v>
      </c>
      <c r="O16" t="s">
        <v>168</v>
      </c>
      <c r="P16" t="b">
        <v>0</v>
      </c>
      <c r="Q16" t="s">
        <v>184</v>
      </c>
    </row>
    <row r="17" spans="1:17" x14ac:dyDescent="0.3">
      <c r="A17" t="s">
        <v>77</v>
      </c>
      <c r="B17" t="s">
        <v>109</v>
      </c>
      <c r="C17" s="50">
        <v>35807</v>
      </c>
      <c r="D17">
        <v>25</v>
      </c>
      <c r="E17" t="s">
        <v>113</v>
      </c>
      <c r="F17" t="s">
        <v>120</v>
      </c>
      <c r="G17" t="s">
        <v>125</v>
      </c>
      <c r="H17">
        <v>2025</v>
      </c>
      <c r="I17" s="51">
        <v>0.32006944444444446</v>
      </c>
      <c r="J17" s="51">
        <v>0.77849537037037031</v>
      </c>
      <c r="K17">
        <v>24342</v>
      </c>
      <c r="L17" t="s">
        <v>127</v>
      </c>
      <c r="M17">
        <v>0</v>
      </c>
      <c r="N17" t="s">
        <v>198</v>
      </c>
      <c r="O17" t="s">
        <v>170</v>
      </c>
      <c r="P17" t="b">
        <v>1</v>
      </c>
      <c r="Q17" t="s">
        <v>184</v>
      </c>
    </row>
    <row r="18" spans="1:17" x14ac:dyDescent="0.3">
      <c r="A18" t="s">
        <v>76</v>
      </c>
      <c r="B18" t="s">
        <v>108</v>
      </c>
      <c r="C18" s="50">
        <v>27744</v>
      </c>
      <c r="D18">
        <v>47</v>
      </c>
      <c r="E18" t="s">
        <v>110</v>
      </c>
      <c r="F18" t="s">
        <v>120</v>
      </c>
      <c r="G18" t="s">
        <v>125</v>
      </c>
      <c r="H18">
        <v>2025</v>
      </c>
      <c r="I18" s="51">
        <v>0.31731481481481483</v>
      </c>
      <c r="J18" s="51">
        <v>0.73372685185185194</v>
      </c>
      <c r="K18">
        <v>15990</v>
      </c>
      <c r="L18" t="s">
        <v>126</v>
      </c>
      <c r="M18">
        <v>4</v>
      </c>
      <c r="N18" t="s">
        <v>199</v>
      </c>
      <c r="O18" t="s">
        <v>171</v>
      </c>
      <c r="P18" t="b">
        <v>1</v>
      </c>
      <c r="Q18" t="s">
        <v>126</v>
      </c>
    </row>
    <row r="19" spans="1:17" x14ac:dyDescent="0.3">
      <c r="A19" t="s">
        <v>74</v>
      </c>
      <c r="B19" t="s">
        <v>107</v>
      </c>
      <c r="C19" s="50">
        <v>30292</v>
      </c>
      <c r="D19">
        <v>40</v>
      </c>
      <c r="E19" t="s">
        <v>115</v>
      </c>
      <c r="F19" t="s">
        <v>120</v>
      </c>
      <c r="G19" t="s">
        <v>125</v>
      </c>
      <c r="H19">
        <v>2025</v>
      </c>
      <c r="I19" s="51">
        <v>0.31040509259259258</v>
      </c>
      <c r="J19" s="51">
        <v>0.71009259259259261</v>
      </c>
      <c r="K19">
        <v>10654</v>
      </c>
      <c r="L19" t="s">
        <v>127</v>
      </c>
      <c r="M19">
        <v>0</v>
      </c>
      <c r="N19" t="s">
        <v>200</v>
      </c>
      <c r="O19" t="s">
        <v>172</v>
      </c>
      <c r="P19" t="b">
        <v>1</v>
      </c>
      <c r="Q19" t="s">
        <v>184</v>
      </c>
    </row>
    <row r="20" spans="1:17" x14ac:dyDescent="0.3">
      <c r="A20" t="s">
        <v>70</v>
      </c>
      <c r="B20" t="s">
        <v>108</v>
      </c>
      <c r="C20" s="50">
        <v>29015</v>
      </c>
      <c r="D20">
        <v>43</v>
      </c>
      <c r="E20" t="s">
        <v>114</v>
      </c>
      <c r="F20" t="s">
        <v>120</v>
      </c>
      <c r="G20" t="s">
        <v>123</v>
      </c>
      <c r="H20">
        <v>2375</v>
      </c>
      <c r="I20" s="51">
        <v>0.31876157407407407</v>
      </c>
      <c r="J20" s="51">
        <v>0.77317129629629633</v>
      </c>
      <c r="K20">
        <v>0</v>
      </c>
      <c r="L20" t="s">
        <v>127</v>
      </c>
      <c r="M20">
        <v>0</v>
      </c>
      <c r="N20" t="s">
        <v>201</v>
      </c>
      <c r="O20" t="s">
        <v>168</v>
      </c>
      <c r="P20" t="b">
        <v>1</v>
      </c>
      <c r="Q20" t="s">
        <v>184</v>
      </c>
    </row>
    <row r="21" spans="1:17" x14ac:dyDescent="0.3">
      <c r="A21" t="s">
        <v>68</v>
      </c>
      <c r="B21" t="s">
        <v>107</v>
      </c>
      <c r="C21" s="50">
        <v>29717</v>
      </c>
      <c r="D21">
        <v>41</v>
      </c>
      <c r="E21" t="s">
        <v>119</v>
      </c>
      <c r="F21" t="s">
        <v>120</v>
      </c>
      <c r="G21" t="s">
        <v>125</v>
      </c>
      <c r="H21">
        <v>2025</v>
      </c>
      <c r="I21" s="51">
        <v>0.31403935185185183</v>
      </c>
      <c r="J21" s="51">
        <v>0.77560185185185182</v>
      </c>
      <c r="K21">
        <v>23371</v>
      </c>
      <c r="L21" t="s">
        <v>126</v>
      </c>
      <c r="M21">
        <v>14</v>
      </c>
      <c r="N21" t="s">
        <v>202</v>
      </c>
      <c r="O21" t="s">
        <v>170</v>
      </c>
      <c r="P21" t="b">
        <v>1</v>
      </c>
      <c r="Q21" t="s">
        <v>127</v>
      </c>
    </row>
    <row r="22" spans="1:17" x14ac:dyDescent="0.3">
      <c r="A22" t="s">
        <v>33</v>
      </c>
      <c r="B22" t="s">
        <v>109</v>
      </c>
      <c r="C22" s="50">
        <v>35048</v>
      </c>
      <c r="D22">
        <v>27</v>
      </c>
      <c r="E22" t="s">
        <v>112</v>
      </c>
      <c r="F22" t="s">
        <v>120</v>
      </c>
      <c r="G22" t="s">
        <v>124</v>
      </c>
      <c r="H22">
        <v>1975</v>
      </c>
      <c r="I22" s="51">
        <v>0.32083333333333336</v>
      </c>
      <c r="J22" s="51">
        <v>0.72917824074074078</v>
      </c>
      <c r="K22">
        <v>0</v>
      </c>
      <c r="L22" t="s">
        <v>127</v>
      </c>
      <c r="M22">
        <v>0</v>
      </c>
      <c r="N22" t="s">
        <v>203</v>
      </c>
      <c r="O22" t="s">
        <v>168</v>
      </c>
      <c r="P22" t="b">
        <v>0</v>
      </c>
      <c r="Q22" t="s">
        <v>184</v>
      </c>
    </row>
    <row r="23" spans="1:17" x14ac:dyDescent="0.3">
      <c r="A23" t="s">
        <v>67</v>
      </c>
      <c r="B23" t="s">
        <v>108</v>
      </c>
      <c r="C23" s="50">
        <v>28823</v>
      </c>
      <c r="D23">
        <v>44</v>
      </c>
      <c r="E23" t="s">
        <v>115</v>
      </c>
      <c r="F23" t="s">
        <v>120</v>
      </c>
      <c r="G23" t="s">
        <v>124</v>
      </c>
      <c r="H23">
        <v>1975</v>
      </c>
      <c r="I23" s="51">
        <v>0.30596064814814816</v>
      </c>
      <c r="J23" s="51">
        <v>0.73457175925925933</v>
      </c>
      <c r="K23">
        <v>0</v>
      </c>
      <c r="L23" t="s">
        <v>127</v>
      </c>
      <c r="M23">
        <v>0</v>
      </c>
      <c r="N23" t="s">
        <v>204</v>
      </c>
      <c r="O23" t="s">
        <v>168</v>
      </c>
      <c r="P23" t="b">
        <v>0</v>
      </c>
      <c r="Q23" t="s">
        <v>184</v>
      </c>
    </row>
    <row r="24" spans="1:17" x14ac:dyDescent="0.3">
      <c r="A24" t="s">
        <v>63</v>
      </c>
      <c r="B24" t="s">
        <v>108</v>
      </c>
      <c r="C24" s="50">
        <v>30637</v>
      </c>
      <c r="D24">
        <v>39</v>
      </c>
      <c r="E24" t="s">
        <v>112</v>
      </c>
      <c r="F24" t="s">
        <v>120</v>
      </c>
      <c r="G24" t="s">
        <v>124</v>
      </c>
      <c r="H24">
        <v>1975</v>
      </c>
      <c r="I24" s="51">
        <v>0.32091435185185185</v>
      </c>
      <c r="J24" s="51">
        <v>0.80910879629629628</v>
      </c>
      <c r="K24">
        <v>0</v>
      </c>
      <c r="L24" t="s">
        <v>126</v>
      </c>
      <c r="M24">
        <v>10</v>
      </c>
      <c r="N24" t="s">
        <v>205</v>
      </c>
      <c r="O24" t="s">
        <v>168</v>
      </c>
      <c r="P24" t="b">
        <v>0</v>
      </c>
      <c r="Q24" t="s">
        <v>126</v>
      </c>
    </row>
    <row r="25" spans="1:17" x14ac:dyDescent="0.3">
      <c r="A25" t="s">
        <v>36</v>
      </c>
      <c r="B25" t="s">
        <v>108</v>
      </c>
      <c r="C25" s="50">
        <v>31310</v>
      </c>
      <c r="D25">
        <v>37</v>
      </c>
      <c r="E25" t="s">
        <v>112</v>
      </c>
      <c r="F25" t="s">
        <v>120</v>
      </c>
      <c r="G25" t="s">
        <v>125</v>
      </c>
      <c r="H25">
        <v>2025</v>
      </c>
      <c r="I25" s="51">
        <v>0.33072916666666669</v>
      </c>
      <c r="J25" s="51">
        <v>0.73204861111111119</v>
      </c>
      <c r="K25">
        <v>23811</v>
      </c>
      <c r="L25" t="s">
        <v>126</v>
      </c>
      <c r="M25">
        <v>11</v>
      </c>
      <c r="N25" t="s">
        <v>206</v>
      </c>
      <c r="O25" t="s">
        <v>170</v>
      </c>
      <c r="P25" t="b">
        <v>1</v>
      </c>
      <c r="Q25" t="s">
        <v>127</v>
      </c>
    </row>
    <row r="26" spans="1:17" x14ac:dyDescent="0.3">
      <c r="A26" t="s">
        <v>59</v>
      </c>
      <c r="B26" t="s">
        <v>107</v>
      </c>
      <c r="C26" s="50">
        <v>32716</v>
      </c>
      <c r="D26">
        <v>33</v>
      </c>
      <c r="E26" t="s">
        <v>110</v>
      </c>
      <c r="F26" t="s">
        <v>120</v>
      </c>
      <c r="G26" t="s">
        <v>123</v>
      </c>
      <c r="H26">
        <v>2375</v>
      </c>
      <c r="I26" s="51">
        <v>0.29605324074074074</v>
      </c>
      <c r="J26" s="51">
        <v>0.71178240740740739</v>
      </c>
      <c r="K26">
        <v>0</v>
      </c>
      <c r="L26" t="s">
        <v>126</v>
      </c>
      <c r="M26">
        <v>2</v>
      </c>
      <c r="N26" t="s">
        <v>207</v>
      </c>
      <c r="O26" t="s">
        <v>168</v>
      </c>
      <c r="P26" t="b">
        <v>1</v>
      </c>
      <c r="Q26" t="s">
        <v>126</v>
      </c>
    </row>
    <row r="27" spans="1:17" x14ac:dyDescent="0.3">
      <c r="A27" t="s">
        <v>58</v>
      </c>
      <c r="B27" t="s">
        <v>108</v>
      </c>
      <c r="C27" s="50">
        <v>26382</v>
      </c>
      <c r="D27">
        <v>51</v>
      </c>
      <c r="E27" t="s">
        <v>116</v>
      </c>
      <c r="F27" t="s">
        <v>120</v>
      </c>
      <c r="G27" t="s">
        <v>125</v>
      </c>
      <c r="H27">
        <v>2025</v>
      </c>
      <c r="I27" s="51">
        <v>0.30586805555555557</v>
      </c>
      <c r="J27" s="51">
        <v>0.78374999999999995</v>
      </c>
      <c r="K27">
        <v>17691</v>
      </c>
      <c r="L27" t="s">
        <v>126</v>
      </c>
      <c r="M27">
        <v>11</v>
      </c>
      <c r="N27" t="s">
        <v>208</v>
      </c>
      <c r="O27" t="s">
        <v>173</v>
      </c>
      <c r="P27" t="b">
        <v>1</v>
      </c>
      <c r="Q27" t="s">
        <v>127</v>
      </c>
    </row>
    <row r="28" spans="1:17" x14ac:dyDescent="0.3">
      <c r="A28" t="s">
        <v>55</v>
      </c>
      <c r="B28" t="s">
        <v>109</v>
      </c>
      <c r="C28" s="50">
        <v>29159</v>
      </c>
      <c r="D28">
        <v>43</v>
      </c>
      <c r="E28" t="s">
        <v>117</v>
      </c>
      <c r="F28" t="s">
        <v>120</v>
      </c>
      <c r="G28" t="s">
        <v>124</v>
      </c>
      <c r="H28">
        <v>1975</v>
      </c>
      <c r="I28" s="51">
        <v>0.30724537037037036</v>
      </c>
      <c r="J28" s="51">
        <v>0.77898148148148139</v>
      </c>
      <c r="K28">
        <v>0</v>
      </c>
      <c r="L28" t="s">
        <v>127</v>
      </c>
      <c r="M28">
        <v>0</v>
      </c>
      <c r="N28" t="s">
        <v>209</v>
      </c>
      <c r="O28" t="s">
        <v>168</v>
      </c>
      <c r="P28" t="b">
        <v>0</v>
      </c>
      <c r="Q28" t="s">
        <v>184</v>
      </c>
    </row>
    <row r="29" spans="1:17" x14ac:dyDescent="0.3">
      <c r="A29" t="s">
        <v>51</v>
      </c>
      <c r="B29" t="s">
        <v>107</v>
      </c>
      <c r="C29" s="50">
        <v>26962</v>
      </c>
      <c r="D29">
        <v>49</v>
      </c>
      <c r="E29" t="s">
        <v>115</v>
      </c>
      <c r="F29" t="s">
        <v>120</v>
      </c>
      <c r="G29" t="s">
        <v>123</v>
      </c>
      <c r="H29">
        <v>2375</v>
      </c>
      <c r="I29" s="51">
        <v>0.30496527777777777</v>
      </c>
      <c r="J29" s="51">
        <v>0.70942129629629624</v>
      </c>
      <c r="K29">
        <v>0</v>
      </c>
      <c r="L29" t="s">
        <v>127</v>
      </c>
      <c r="M29">
        <v>0</v>
      </c>
      <c r="N29" t="s">
        <v>210</v>
      </c>
      <c r="O29" t="s">
        <v>168</v>
      </c>
      <c r="P29" t="b">
        <v>1</v>
      </c>
      <c r="Q29" t="s">
        <v>184</v>
      </c>
    </row>
    <row r="30" spans="1:17" x14ac:dyDescent="0.3">
      <c r="A30" t="s">
        <v>49</v>
      </c>
      <c r="B30" t="s">
        <v>108</v>
      </c>
      <c r="C30" s="50">
        <v>35215</v>
      </c>
      <c r="D30">
        <v>26</v>
      </c>
      <c r="E30" t="s">
        <v>119</v>
      </c>
      <c r="F30" t="s">
        <v>120</v>
      </c>
      <c r="G30" t="s">
        <v>125</v>
      </c>
      <c r="H30">
        <v>2025</v>
      </c>
      <c r="I30" s="51">
        <v>0.29991898148148149</v>
      </c>
      <c r="J30" s="51">
        <v>0.76421296296296293</v>
      </c>
      <c r="K30">
        <v>21424</v>
      </c>
      <c r="L30" t="s">
        <v>127</v>
      </c>
      <c r="M30">
        <v>0</v>
      </c>
      <c r="N30" t="s">
        <v>211</v>
      </c>
      <c r="O30" t="s">
        <v>169</v>
      </c>
      <c r="P30" t="b">
        <v>1</v>
      </c>
      <c r="Q30" t="s">
        <v>184</v>
      </c>
    </row>
    <row r="31" spans="1:17" x14ac:dyDescent="0.3">
      <c r="A31" t="s">
        <v>42</v>
      </c>
      <c r="B31" t="s">
        <v>109</v>
      </c>
      <c r="C31" s="50">
        <v>28310</v>
      </c>
      <c r="D31">
        <v>45</v>
      </c>
      <c r="E31" t="s">
        <v>115</v>
      </c>
      <c r="F31" t="s">
        <v>120</v>
      </c>
      <c r="G31" t="s">
        <v>123</v>
      </c>
      <c r="H31">
        <v>2375</v>
      </c>
      <c r="I31" s="51">
        <v>0.32458333333333333</v>
      </c>
      <c r="J31" s="51">
        <v>0.78567129629629628</v>
      </c>
      <c r="K31">
        <v>0</v>
      </c>
      <c r="L31" t="s">
        <v>126</v>
      </c>
      <c r="M31">
        <v>8</v>
      </c>
      <c r="N31" t="s">
        <v>212</v>
      </c>
      <c r="O31" t="s">
        <v>168</v>
      </c>
      <c r="P31" t="b">
        <v>1</v>
      </c>
      <c r="Q31" t="s">
        <v>126</v>
      </c>
    </row>
    <row r="32" spans="1:17" x14ac:dyDescent="0.3">
      <c r="A32" t="s">
        <v>47</v>
      </c>
      <c r="B32" t="s">
        <v>107</v>
      </c>
      <c r="C32" s="50">
        <v>35916</v>
      </c>
      <c r="D32">
        <v>24</v>
      </c>
      <c r="E32" t="s">
        <v>118</v>
      </c>
      <c r="F32" t="s">
        <v>120</v>
      </c>
      <c r="G32" t="s">
        <v>125</v>
      </c>
      <c r="H32">
        <v>2025</v>
      </c>
      <c r="I32" s="51">
        <v>0.30309027777777781</v>
      </c>
      <c r="J32" s="51">
        <v>0.77335648148148151</v>
      </c>
      <c r="K32">
        <v>17178</v>
      </c>
      <c r="L32" t="s">
        <v>127</v>
      </c>
      <c r="M32">
        <v>0</v>
      </c>
      <c r="N32" t="s">
        <v>213</v>
      </c>
      <c r="O32" t="s">
        <v>173</v>
      </c>
      <c r="P32" t="b">
        <v>1</v>
      </c>
      <c r="Q32" t="s">
        <v>184</v>
      </c>
    </row>
    <row r="33" spans="1:17" x14ac:dyDescent="0.3">
      <c r="A33" t="s">
        <v>44</v>
      </c>
      <c r="B33" t="s">
        <v>108</v>
      </c>
      <c r="C33" s="50">
        <v>31199</v>
      </c>
      <c r="D33">
        <v>37</v>
      </c>
      <c r="E33" t="s">
        <v>111</v>
      </c>
      <c r="F33" t="s">
        <v>120</v>
      </c>
      <c r="G33" t="s">
        <v>125</v>
      </c>
      <c r="H33">
        <v>2025</v>
      </c>
      <c r="I33" s="51">
        <v>0.29603009259259261</v>
      </c>
      <c r="J33" s="51">
        <v>0.73637731481481483</v>
      </c>
      <c r="K33">
        <v>15154</v>
      </c>
      <c r="L33" t="s">
        <v>126</v>
      </c>
      <c r="M33">
        <v>12</v>
      </c>
      <c r="N33" t="s">
        <v>214</v>
      </c>
      <c r="O33" t="s">
        <v>171</v>
      </c>
      <c r="P33" t="b">
        <v>1</v>
      </c>
      <c r="Q33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BD55-3034-4D86-848D-D92D7A8197D0}">
  <sheetPr>
    <tabColor rgb="FF00B050"/>
  </sheetPr>
  <dimension ref="A4:K30"/>
  <sheetViews>
    <sheetView showGridLines="0" topLeftCell="A16" workbookViewId="0">
      <selection activeCell="F12" sqref="F12"/>
    </sheetView>
  </sheetViews>
  <sheetFormatPr baseColWidth="10" defaultRowHeight="16.5" x14ac:dyDescent="0.3"/>
  <cols>
    <col min="1" max="1" width="23" bestFit="1" customWidth="1"/>
    <col min="2" max="2" width="17.125" bestFit="1" customWidth="1"/>
    <col min="3" max="3" width="2.875" bestFit="1" customWidth="1"/>
    <col min="4" max="4" width="13.75" bestFit="1" customWidth="1"/>
    <col min="5" max="5" width="17.125" bestFit="1" customWidth="1"/>
    <col min="6" max="6" width="59.625" bestFit="1" customWidth="1"/>
    <col min="7" max="7" width="20" bestFit="1" customWidth="1"/>
    <col min="8" max="8" width="16.75" bestFit="1" customWidth="1"/>
    <col min="9" max="9" width="12.875" bestFit="1" customWidth="1"/>
    <col min="10" max="10" width="20.5" bestFit="1" customWidth="1"/>
    <col min="11" max="11" width="21.875" customWidth="1"/>
    <col min="12" max="12" width="12.875" bestFit="1" customWidth="1"/>
    <col min="13" max="13" width="14.25" bestFit="1" customWidth="1"/>
    <col min="14" max="14" width="12.875" bestFit="1" customWidth="1"/>
  </cols>
  <sheetData>
    <row r="4" spans="1:11" x14ac:dyDescent="0.3">
      <c r="A4" s="26" t="s">
        <v>176</v>
      </c>
      <c r="B4" t="s">
        <v>165</v>
      </c>
      <c r="D4" s="26" t="s">
        <v>167</v>
      </c>
      <c r="E4" t="s">
        <v>165</v>
      </c>
      <c r="G4" s="26" t="s">
        <v>167</v>
      </c>
      <c r="H4" t="s">
        <v>143</v>
      </c>
      <c r="J4" s="26" t="s">
        <v>174</v>
      </c>
      <c r="K4" t="s">
        <v>165</v>
      </c>
    </row>
    <row r="5" spans="1:11" x14ac:dyDescent="0.3">
      <c r="A5" s="47" t="s">
        <v>113</v>
      </c>
      <c r="B5">
        <v>11</v>
      </c>
      <c r="D5" s="47" t="s">
        <v>123</v>
      </c>
      <c r="E5">
        <v>31</v>
      </c>
      <c r="G5" s="47" t="s">
        <v>123</v>
      </c>
      <c r="H5">
        <v>74225</v>
      </c>
      <c r="J5" s="47" t="s">
        <v>169</v>
      </c>
      <c r="K5">
        <v>8</v>
      </c>
    </row>
    <row r="6" spans="1:11" x14ac:dyDescent="0.3">
      <c r="A6" s="47" t="s">
        <v>115</v>
      </c>
      <c r="B6">
        <v>16</v>
      </c>
      <c r="D6" s="47" t="s">
        <v>124</v>
      </c>
      <c r="E6">
        <v>30</v>
      </c>
      <c r="G6" s="47" t="s">
        <v>124</v>
      </c>
      <c r="H6">
        <v>59850</v>
      </c>
      <c r="J6" s="47" t="s">
        <v>170</v>
      </c>
      <c r="K6">
        <v>10</v>
      </c>
    </row>
    <row r="7" spans="1:11" x14ac:dyDescent="0.3">
      <c r="A7" s="47" t="s">
        <v>110</v>
      </c>
      <c r="B7">
        <v>10</v>
      </c>
      <c r="D7" s="47" t="s">
        <v>125</v>
      </c>
      <c r="E7">
        <v>39</v>
      </c>
      <c r="G7" s="47" t="s">
        <v>125</v>
      </c>
      <c r="H7">
        <v>79775</v>
      </c>
      <c r="J7" s="47" t="s">
        <v>171</v>
      </c>
      <c r="K7">
        <v>5</v>
      </c>
    </row>
    <row r="8" spans="1:11" x14ac:dyDescent="0.3">
      <c r="A8" s="47" t="s">
        <v>111</v>
      </c>
      <c r="B8">
        <v>8</v>
      </c>
      <c r="D8" s="47" t="s">
        <v>145</v>
      </c>
      <c r="E8">
        <v>100</v>
      </c>
      <c r="G8" s="47" t="s">
        <v>145</v>
      </c>
      <c r="H8">
        <v>213850</v>
      </c>
      <c r="J8" s="47" t="s">
        <v>172</v>
      </c>
      <c r="K8">
        <v>8</v>
      </c>
    </row>
    <row r="9" spans="1:11" x14ac:dyDescent="0.3">
      <c r="A9" s="47" t="s">
        <v>112</v>
      </c>
      <c r="B9">
        <v>9</v>
      </c>
      <c r="J9" s="47" t="s">
        <v>173</v>
      </c>
      <c r="K9">
        <v>8</v>
      </c>
    </row>
    <row r="10" spans="1:11" x14ac:dyDescent="0.3">
      <c r="A10" s="47" t="s">
        <v>116</v>
      </c>
      <c r="B10">
        <v>12</v>
      </c>
      <c r="J10" s="47" t="s">
        <v>145</v>
      </c>
      <c r="K10">
        <v>39</v>
      </c>
    </row>
    <row r="11" spans="1:11" x14ac:dyDescent="0.3">
      <c r="A11" s="47" t="s">
        <v>114</v>
      </c>
      <c r="B11">
        <v>7</v>
      </c>
      <c r="D11" s="26" t="s">
        <v>166</v>
      </c>
      <c r="E11" t="s">
        <v>165</v>
      </c>
      <c r="G11" s="26" t="s">
        <v>166</v>
      </c>
      <c r="H11" t="s">
        <v>143</v>
      </c>
    </row>
    <row r="12" spans="1:11" x14ac:dyDescent="0.3">
      <c r="A12" s="47" t="s">
        <v>118</v>
      </c>
      <c r="B12">
        <v>10</v>
      </c>
      <c r="D12" s="47" t="s">
        <v>120</v>
      </c>
      <c r="E12">
        <v>32</v>
      </c>
      <c r="G12" s="47" t="s">
        <v>120</v>
      </c>
      <c r="H12">
        <v>67250</v>
      </c>
      <c r="J12" s="26" t="s">
        <v>175</v>
      </c>
      <c r="K12" t="s">
        <v>165</v>
      </c>
    </row>
    <row r="13" spans="1:11" x14ac:dyDescent="0.3">
      <c r="A13" s="47" t="s">
        <v>117</v>
      </c>
      <c r="B13">
        <v>10</v>
      </c>
      <c r="D13" s="47" t="s">
        <v>122</v>
      </c>
      <c r="E13">
        <v>39</v>
      </c>
      <c r="G13" s="47" t="s">
        <v>122</v>
      </c>
      <c r="H13">
        <v>90675</v>
      </c>
      <c r="J13" s="47" t="s">
        <v>127</v>
      </c>
      <c r="K13">
        <v>54</v>
      </c>
    </row>
    <row r="14" spans="1:11" x14ac:dyDescent="0.3">
      <c r="A14" s="47" t="s">
        <v>119</v>
      </c>
      <c r="B14">
        <v>7</v>
      </c>
      <c r="D14" s="47" t="s">
        <v>121</v>
      </c>
      <c r="E14">
        <v>29</v>
      </c>
      <c r="G14" s="47" t="s">
        <v>121</v>
      </c>
      <c r="H14">
        <v>55925</v>
      </c>
      <c r="J14" s="47" t="s">
        <v>126</v>
      </c>
      <c r="K14">
        <v>46</v>
      </c>
    </row>
    <row r="15" spans="1:11" x14ac:dyDescent="0.3">
      <c r="A15" s="47" t="s">
        <v>145</v>
      </c>
      <c r="B15">
        <v>100</v>
      </c>
      <c r="D15" s="47" t="s">
        <v>145</v>
      </c>
      <c r="E15">
        <v>100</v>
      </c>
      <c r="G15" s="47" t="s">
        <v>145</v>
      </c>
      <c r="H15">
        <v>213850</v>
      </c>
      <c r="J15" s="47" t="s">
        <v>145</v>
      </c>
      <c r="K15">
        <v>100</v>
      </c>
    </row>
    <row r="18" spans="1:11" x14ac:dyDescent="0.3">
      <c r="A18" s="26" t="s">
        <v>179</v>
      </c>
      <c r="B18" s="26" t="s">
        <v>150</v>
      </c>
      <c r="F18" s="26" t="s">
        <v>180</v>
      </c>
      <c r="G18" s="26" t="s">
        <v>150</v>
      </c>
      <c r="K18" t="s">
        <v>177</v>
      </c>
    </row>
    <row r="19" spans="1:11" x14ac:dyDescent="0.3">
      <c r="A19" s="26" t="s">
        <v>144</v>
      </c>
      <c r="B19" t="s">
        <v>127</v>
      </c>
      <c r="C19" t="s">
        <v>126</v>
      </c>
      <c r="D19" t="s">
        <v>145</v>
      </c>
      <c r="F19" s="26" t="s">
        <v>144</v>
      </c>
      <c r="G19" t="s">
        <v>127</v>
      </c>
      <c r="H19" t="s">
        <v>126</v>
      </c>
      <c r="I19" t="s">
        <v>145</v>
      </c>
      <c r="K19" s="52">
        <v>2138.5</v>
      </c>
    </row>
    <row r="20" spans="1:11" x14ac:dyDescent="0.3">
      <c r="A20" s="47" t="s">
        <v>113</v>
      </c>
      <c r="B20">
        <v>5</v>
      </c>
      <c r="C20">
        <v>6</v>
      </c>
      <c r="D20">
        <v>11</v>
      </c>
      <c r="F20" s="47" t="s">
        <v>123</v>
      </c>
      <c r="G20">
        <v>17</v>
      </c>
      <c r="H20">
        <v>14</v>
      </c>
      <c r="I20">
        <v>31</v>
      </c>
    </row>
    <row r="21" spans="1:11" x14ac:dyDescent="0.3">
      <c r="A21" s="47" t="s">
        <v>115</v>
      </c>
      <c r="B21">
        <v>10</v>
      </c>
      <c r="C21">
        <v>6</v>
      </c>
      <c r="D21">
        <v>16</v>
      </c>
      <c r="F21" s="47" t="s">
        <v>124</v>
      </c>
      <c r="G21">
        <v>17</v>
      </c>
      <c r="H21">
        <v>13</v>
      </c>
      <c r="I21">
        <v>30</v>
      </c>
      <c r="K21" t="s">
        <v>178</v>
      </c>
    </row>
    <row r="22" spans="1:11" x14ac:dyDescent="0.3">
      <c r="A22" s="47" t="s">
        <v>110</v>
      </c>
      <c r="B22">
        <v>5</v>
      </c>
      <c r="C22">
        <v>5</v>
      </c>
      <c r="D22">
        <v>10</v>
      </c>
      <c r="F22" s="47" t="s">
        <v>125</v>
      </c>
      <c r="G22">
        <v>20</v>
      </c>
      <c r="H22">
        <v>19</v>
      </c>
      <c r="I22">
        <v>39</v>
      </c>
      <c r="K22" s="48">
        <v>36.58</v>
      </c>
    </row>
    <row r="23" spans="1:11" x14ac:dyDescent="0.3">
      <c r="A23" s="47" t="s">
        <v>111</v>
      </c>
      <c r="B23">
        <v>5</v>
      </c>
      <c r="C23">
        <v>3</v>
      </c>
      <c r="D23">
        <v>8</v>
      </c>
      <c r="F23" s="47" t="s">
        <v>145</v>
      </c>
      <c r="G23">
        <v>54</v>
      </c>
      <c r="H23">
        <v>46</v>
      </c>
      <c r="I23">
        <v>100</v>
      </c>
    </row>
    <row r="24" spans="1:11" x14ac:dyDescent="0.3">
      <c r="A24" s="47" t="s">
        <v>112</v>
      </c>
      <c r="B24">
        <v>4</v>
      </c>
      <c r="C24">
        <v>5</v>
      </c>
      <c r="D24">
        <v>9</v>
      </c>
    </row>
    <row r="25" spans="1:11" x14ac:dyDescent="0.3">
      <c r="A25" s="47" t="s">
        <v>116</v>
      </c>
      <c r="B25">
        <v>4</v>
      </c>
      <c r="C25">
        <v>8</v>
      </c>
      <c r="D25">
        <v>12</v>
      </c>
      <c r="F25" s="26" t="s">
        <v>181</v>
      </c>
      <c r="G25" s="26" t="s">
        <v>150</v>
      </c>
    </row>
    <row r="26" spans="1:11" x14ac:dyDescent="0.3">
      <c r="A26" s="47" t="s">
        <v>114</v>
      </c>
      <c r="B26">
        <v>6</v>
      </c>
      <c r="C26">
        <v>1</v>
      </c>
      <c r="D26">
        <v>7</v>
      </c>
      <c r="F26" s="26" t="s">
        <v>144</v>
      </c>
      <c r="G26" t="s">
        <v>127</v>
      </c>
      <c r="H26" t="s">
        <v>126</v>
      </c>
      <c r="I26" t="s">
        <v>145</v>
      </c>
    </row>
    <row r="27" spans="1:11" x14ac:dyDescent="0.3">
      <c r="A27" s="47" t="s">
        <v>118</v>
      </c>
      <c r="B27">
        <v>4</v>
      </c>
      <c r="C27">
        <v>6</v>
      </c>
      <c r="D27">
        <v>10</v>
      </c>
      <c r="F27" s="47" t="s">
        <v>120</v>
      </c>
      <c r="G27">
        <v>17</v>
      </c>
      <c r="H27">
        <v>15</v>
      </c>
      <c r="I27">
        <v>32</v>
      </c>
    </row>
    <row r="28" spans="1:11" x14ac:dyDescent="0.3">
      <c r="A28" s="47" t="s">
        <v>117</v>
      </c>
      <c r="B28">
        <v>6</v>
      </c>
      <c r="C28">
        <v>4</v>
      </c>
      <c r="D28">
        <v>10</v>
      </c>
      <c r="F28" s="47" t="s">
        <v>122</v>
      </c>
      <c r="G28">
        <v>19</v>
      </c>
      <c r="H28">
        <v>20</v>
      </c>
      <c r="I28">
        <v>39</v>
      </c>
    </row>
    <row r="29" spans="1:11" x14ac:dyDescent="0.3">
      <c r="A29" s="47" t="s">
        <v>119</v>
      </c>
      <c r="B29">
        <v>5</v>
      </c>
      <c r="C29">
        <v>2</v>
      </c>
      <c r="D29">
        <v>7</v>
      </c>
      <c r="F29" s="47" t="s">
        <v>121</v>
      </c>
      <c r="G29">
        <v>18</v>
      </c>
      <c r="H29">
        <v>11</v>
      </c>
      <c r="I29">
        <v>29</v>
      </c>
    </row>
    <row r="30" spans="1:11" x14ac:dyDescent="0.3">
      <c r="A30" s="47" t="s">
        <v>145</v>
      </c>
      <c r="B30">
        <v>54</v>
      </c>
      <c r="C30">
        <v>46</v>
      </c>
      <c r="D30">
        <v>100</v>
      </c>
      <c r="F30" s="47" t="s">
        <v>145</v>
      </c>
      <c r="G30">
        <v>54</v>
      </c>
      <c r="H30">
        <v>46</v>
      </c>
      <c r="I3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9F59-B467-48C8-9F81-B08CA16E8667}">
  <dimension ref="D1"/>
  <sheetViews>
    <sheetView tabSelected="1" zoomScale="60" zoomScaleNormal="60" workbookViewId="0">
      <selection activeCell="AB33" sqref="AB33"/>
    </sheetView>
  </sheetViews>
  <sheetFormatPr baseColWidth="10" defaultRowHeight="16.5" x14ac:dyDescent="0.3"/>
  <cols>
    <col min="1" max="3" width="11" style="49"/>
    <col min="4" max="4" width="11" style="53"/>
    <col min="5" max="16384" width="11" style="49"/>
  </cols>
  <sheetData/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DATOS_CURSO</vt:lpstr>
      <vt:lpstr>BD</vt:lpstr>
      <vt:lpstr>TD</vt:lpstr>
      <vt:lpstr>Hoja3</vt:lpstr>
      <vt:lpstr>TD_DASH</vt:lpstr>
      <vt:lpstr>DASHBOARD</vt:lpstr>
      <vt:lpstr>_bd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Hesler Lincolm Bustos Chavez</cp:lastModifiedBy>
  <dcterms:created xsi:type="dcterms:W3CDTF">2023-04-29T07:00:47Z</dcterms:created>
  <dcterms:modified xsi:type="dcterms:W3CDTF">2025-12-11T23:45:02Z</dcterms:modified>
</cp:coreProperties>
</file>